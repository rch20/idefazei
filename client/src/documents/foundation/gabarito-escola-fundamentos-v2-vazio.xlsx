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STUDO" sheetId="2" state="visible" r:id="rId2"/>
    <sheet xmlns:r="http://schemas.openxmlformats.org/officeDocument/2006/relationships" name="BLOCOS" sheetId="3" state="visible" r:id="rId3"/>
    <sheet xmlns:r="http://schemas.openxmlformats.org/officeDocument/2006/relationships" name="PERGUNTAS" sheetId="4" state="visible" r:id="rId4"/>
    <sheet xmlns:r="http://schemas.openxmlformats.org/officeDocument/2006/relationships" name="AULA" sheetId="5" state="visible" r:id="rId5"/>
    <sheet xmlns:r="http://schemas.openxmlformats.org/officeDocument/2006/relationships" name="MATERIAIS" sheetId="6" state="visible" r:id="rId6"/>
    <sheet xmlns:r="http://schemas.openxmlformats.org/officeDocument/2006/relationships" name="LISTAS" sheetId="7" state="hidden" r:id="rId7"/>
  </sheets>
  <definedNames>
    <definedName name="RespostasPossiveis">'LISTAS'!$A$1:$A$6</definedName>
    <definedName name="StatusAula">'LISTAS'!$C$1:$C$3</definedName>
    <definedName name="_xlnm.Print_Area" localSheetId="0">'LEIA-ME'!$A$1:$B$15</definedName>
    <definedName name="_xlnm.Print_Area" localSheetId="1">'ESTUDO'!$A$1:$G$5</definedName>
    <definedName name="_xlnm.Print_Area" localSheetId="2">'BLOCOS'!$A$1:$E$8</definedName>
    <definedName name="_xlnm.Print_Area" localSheetId="3">'PERGUNTAS'!$A$1:$K$9</definedName>
    <definedName name="_xlnm.Print_Area" localSheetId="4">'AULA'!$A$1:$D$5</definedName>
    <definedName name="_xlnm.Print_Area" localSheetId="5">'MATERIAIS'!$A$1:$D$7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7085"/>
      <sz val="10"/>
    </font>
    <font>
      <name val="Aptos"/>
      <b val="1"/>
      <color rgb="00FFFFFF"/>
      <sz val="10"/>
    </font>
    <font>
      <name val="Aptos"/>
      <color rgb="00172B4D"/>
      <sz val="10"/>
    </font>
    <font>
      <name val="Aptos"/>
      <b val="1"/>
      <color rgb="001E3A5F"/>
      <sz val="10"/>
    </font>
    <font>
      <name val="Aptos"/>
      <b val="1"/>
      <color rgb="001E3A5F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3F7FB"/>
      </patternFill>
    </fill>
    <fill>
      <patternFill patternType="solid">
        <fgColor rgb="00F2F4F7"/>
      </patternFill>
    </fill>
    <fill>
      <patternFill patternType="solid">
        <fgColor rgb="00EAF7EF"/>
      </patternFill>
    </fill>
  </fills>
  <borders count="3">
    <border>
      <left/>
      <right/>
      <top/>
      <bottom/>
      <diagonal/>
    </border>
    <border>
      <top style="medium">
        <color rgb="00C9A84C"/>
      </top>
      <bottom style="medium">
        <color rgb="00C9A84C"/>
      </bottom>
    </border>
    <border>
      <bottom style="thin">
        <color rgb="00D9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164" fontId="4" fillId="3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Ide Fazei</author>
  </authors>
  <commentList>
    <comment ref="A4" authorId="0" shapeId="0">
      <text>
        <t>Opcional no arquivo. O courseId selecionado no sistema é a autoridade. Não criar turma pelo nome do arquivo.</t>
      </text>
    </comment>
    <comment ref="C4" authorId="0" shapeId="0">
      <text>
        <t>A data pode permanecer vazia no arquivo, mas será solicitada antes da confirmação. Formato de exibição: dia/mês/ano.</t>
      </text>
    </comment>
    <comment ref="D4" authorId="0" shapeId="0">
      <text>
        <t>Deixe vazio para não vincular módulo. Não escreva “Sem módulo por enquanto” como se fosse um nome.</t>
      </text>
    </comment>
    <comment ref="G4" authorId="0" shapeId="0">
      <text>
        <t>Somente orientação local. Não é conteúdo do estudo nem prova de validação no servidor.</t>
      </text>
    </comment>
  </commentList>
</comments>
</file>

<file path=xl/comments/comment2.xml><?xml version="1.0" encoding="utf-8"?>
<comments xmlns="http://schemas.openxmlformats.org/spreadsheetml/2006/main">
  <authors>
    <author>Ide Fazei</author>
  </authors>
  <commentList>
    <comment ref="A4" authorId="0" shapeId="0">
      <text>
        <t>Identidade de etapa: 1 Leia, 2 Entenda, 3 Responda, 4 Aplique. Não é um ID de banco.</t>
      </text>
    </comment>
    <comment ref="D4" authorId="0" shapeId="0">
      <text>
        <t>Prompt opcional do professor, até 1.000 caracteres. Não é uma resposta ou anotação do aluno. Em Responda aparece depois das perguntas.</t>
      </text>
    </comment>
    <comment ref="C5" authorId="0" shapeId="0">
      <text>
        <t>Leia: leitura e referências bíblicas no texto. Não é necessário criar um campo separado para a anotação do aluno.</t>
      </text>
    </comment>
    <comment ref="C6" authorId="0" shapeId="0">
      <text>
        <t>Entenda: explicação, ideia central e exemplo concreto.</t>
      </text>
    </comment>
    <comment ref="C7" authorId="0" shapeId="0">
      <text>
        <t>Responda: orientação breve antes das perguntas; não cole aqui os gabaritos.</t>
      </text>
    </comment>
    <comment ref="C8" authorId="0" shapeId="0">
      <text>
        <t>Aplique: ação prática que o aluno poderá realizar.</t>
      </text>
    </comment>
  </commentList>
</comments>
</file>

<file path=xl/comments/comment3.xml><?xml version="1.0" encoding="utf-8"?>
<comments xmlns="http://schemas.openxmlformats.org/spreadsheetml/2006/main">
  <authors>
    <author>Ide Fazei</author>
  </authors>
  <commentList>
    <comment ref="A4" authorId="0" shapeId="0">
      <text>
        <t>Ordem única positiva dentro de Responda. Uma linha totalmente vazia não cria pergunta.</t>
      </text>
    </comment>
    <comment ref="G4" authorId="0" shapeId="0">
      <text>
        <t>Alternativas E/F estão recolhidas por padrão. Reexiba as colunas G/H se precisar de cinco ou seis alternativas.</t>
      </text>
    </comment>
    <comment ref="I4" authorId="0" shapeId="0">
      <text>
        <t>Campo do professor. Não é apresentado antes da tentativa do aluno. Nunca inferir resposta correta pela posição.</t>
      </text>
    </comment>
    <comment ref="J4" authorId="0" shapeId="0">
      <text>
        <t>Explicação após a resposta. Obrigatória para uma pergunta válida no contrato atual.</t>
      </text>
    </comment>
  </commentList>
</comments>
</file>

<file path=xl/comments/comment4.xml><?xml version="1.0" encoding="utf-8"?>
<comments xmlns="http://schemas.openxmlformats.org/spreadsheetml/2006/main">
  <authors>
    <author>Ide Fazei</author>
  </authors>
  <commentList>
    <comment ref="B4" authorId="0" shapeId="0">
      <text>
        <t>Título exato da Biblioteca existente. Não enviar arquivo, ID interno ou URL assinada. Nomes ambíguos devem ser resolvidos na prévia.</t>
      </text>
    </comment>
  </commentList>
</comments>
</file>

<file path=xl/tables/table1.xml><?xml version="1.0" encoding="utf-8"?>
<table xmlns="http://schemas.openxmlformats.org/spreadsheetml/2006/main" id="1" name="PerguntasEditorialV2" displayName="PerguntasEditorialV2" ref="A4:K24" headerRowCount="1">
  <autoFilter ref="A4:K24"/>
  <tableColumns count="11">
    <tableColumn id="1" name="Ordem da pergunta"/>
    <tableColumn id="2" name="Enunciado"/>
    <tableColumn id="3" name="Alternativa A"/>
    <tableColumn id="4" name="Alternativa B"/>
    <tableColumn id="5" name="Alternativa C (opcional)"/>
    <tableColumn id="6" name="Alternativa D (opcional)"/>
    <tableColumn id="7" name="Alternativa E (opcional)"/>
    <tableColumn id="8" name="Alternativa F (opcional)"/>
    <tableColumn id="9" name="Resposta correta"/>
    <tableColumn id="10" name="Explicação da resposta"/>
    <tableColumn id="11" name="Valid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AAB4C3"/>
    <outlinePr summaryBelow="1" summaryRight="1"/>
    <pageSetUpPr fitToPage="1"/>
  </sheetPr>
  <dimension ref="A1:B1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 ht="30" customHeight="1">
      <c r="A1" s="1" t="inlineStr">
        <is>
          <t>Modelo Excel editorial v2 — Escola de Fundamentos</t>
        </is>
      </c>
    </row>
    <row r="2" ht="42" customHeight="1">
      <c r="A2" s="2" t="inlineStr">
        <is>
          <t>PROPOSTA: o importador atual ainda precisa ser atualizado para aceitar este modelo.</t>
        </is>
      </c>
    </row>
    <row r="4" ht="45" customHeight="1">
      <c r="A4" s="3" t="inlineStr">
        <is>
          <t>Assunto</t>
        </is>
      </c>
      <c r="B4" s="3" t="inlineStr">
        <is>
          <t>Orientação</t>
        </is>
      </c>
    </row>
    <row r="5" ht="50" customHeight="1">
      <c r="A5" s="4" t="inlineStr">
        <is>
          <t>Três abas principais</t>
        </is>
      </c>
      <c r="B5" s="5" t="inlineStr">
        <is>
          <t>ESTUDO → BLOCOS → PERGUNTAS. O professor prepara o conteúdo; o administrador revisa e importa.</t>
        </is>
      </c>
    </row>
    <row r="6" ht="50" customHeight="1">
      <c r="A6" s="6" t="inlineStr">
        <is>
          <t>Um arquivo, um estudo</t>
        </is>
      </c>
      <c r="B6" s="7" t="inlineStr">
        <is>
          <t>Preencha somente a linha 5 de ESTUDO. Não altere os nomes das abas nem os cabeçalhos da linha 4.</t>
        </is>
      </c>
    </row>
    <row r="7" ht="50" customHeight="1">
      <c r="A7" s="4" t="inlineStr">
        <is>
          <t>Campos vazios</t>
        </is>
      </c>
      <c r="B7" s="5" t="inlineStr">
        <is>
          <t>Deixe realmente vazio, sem sublinhados, traços, fórmulas ou texto de exemplo. Opcionais não recebem conteúdo automático.</t>
        </is>
      </c>
    </row>
    <row r="8" ht="50" customHeight="1">
      <c r="A8" s="6" t="inlineStr">
        <is>
          <t>Turma e igreja</t>
        </is>
      </c>
      <c r="B8" s="7" t="inlineStr">
        <is>
          <t>O administrador escolhe a turma no sistema. O nome da turma na planilha é apenas conferência. A igreja vem da sessão, nunca do arquivo.</t>
        </is>
      </c>
    </row>
    <row r="9" ht="50" customHeight="1">
      <c r="A9" s="4" t="inlineStr">
        <is>
          <t>Data da semana</t>
        </is>
      </c>
      <c r="B9" s="5" t="inlineStr">
        <is>
          <t>Digite uma data civil, como 19/10/2026, na célula de data. Pode ser completada na prévia; será necessária para confirmar.</t>
        </is>
      </c>
    </row>
    <row r="10" ht="50" customHeight="1">
      <c r="A10" s="6" t="inlineStr">
        <is>
          <t>Conteúdo por etapa</t>
        </is>
      </c>
      <c r="B10" s="7" t="inlineStr">
        <is>
          <t>BLOCOS tem quatro linhas fixas: Leia, Entenda, Responda e Aplique. Digite o conteúdo e a reflexão opcional na linha correspondente.</t>
        </is>
      </c>
    </row>
    <row r="11" ht="50" customHeight="1">
      <c r="A11" s="4" t="inlineStr">
        <is>
          <t>Perguntas</t>
        </is>
      </c>
      <c r="B11" s="5" t="inlineStr">
        <is>
          <t>Uma linha por pergunta de Responda. Preencha A/B; C–F são opcionais, sem lacunas. E/F estão recolhidas: expanda o grupo acima de G/H para usá-las.</t>
        </is>
      </c>
    </row>
    <row r="12" ht="50" customHeight="1">
      <c r="A12" s="6" t="inlineStr">
        <is>
          <t>Gabarito explícito</t>
        </is>
      </c>
      <c r="B12" s="7" t="inlineStr">
        <is>
          <t>Escolha A–F na coluna Resposta correta. Não há resposta marcada previamente. Ela deve apontar para uma alternativa preenchida.</t>
        </is>
      </c>
    </row>
    <row r="13" ht="50" customHeight="1">
      <c r="A13" s="4" t="inlineStr">
        <is>
          <t>Validação</t>
        </is>
      </c>
      <c r="B13" s="5" t="inlineStr">
        <is>
          <t>As fórmulas são somente orientações locais e podem ficar vazias enquanto o arquivo não tem dados. O servidor precisa revalidar tudo.</t>
        </is>
      </c>
    </row>
    <row r="14" ht="50" customHeight="1">
      <c r="A14" s="6" t="inlineStr">
        <is>
          <t>Opcionais</t>
        </is>
      </c>
      <c r="B14" s="7" t="inlineStr">
        <is>
          <t>AULA e MATERIAIS podem ficar totalmente vazias. Não são necessárias para preparar o estudo digital.</t>
        </is>
      </c>
    </row>
    <row r="15" ht="50" customHeight="1">
      <c r="A15" s="4" t="inlineStr">
        <is>
          <t>Revisão e publicação</t>
        </is>
      </c>
      <c r="B15" s="5" t="inlineStr">
        <is>
          <t>O fluxo v2 deverá importar sempre como rascunho. A publicação ocorre depois da conferência no editor. Não há coluna para publicar automaticamente.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&amp;C&amp;8 Ide Fazei | Modelo editorial v2 — proposta |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38" customWidth="1" min="2" max="2"/>
    <col width="21" customWidth="1" min="3" max="3"/>
    <col width="28" customWidth="1" min="4" max="4"/>
    <col width="55" customWidth="1" min="5" max="5"/>
    <col width="75" customWidth="1" min="6" max="6"/>
    <col width="32" customWidth="1" min="7" max="7"/>
  </cols>
  <sheetData>
    <row r="1" ht="30" customHeight="1">
      <c r="A1" s="1" t="inlineStr">
        <is>
          <t>1. Informações do estudo</t>
        </is>
      </c>
    </row>
    <row r="2" ht="42" customHeight="1">
      <c r="A2" s="2" t="inlineStr">
        <is>
          <t>Preencha uma única linha. Turma e semana podem ser completadas na prévia; opcionais vazios continuam vazios.</t>
        </is>
      </c>
    </row>
    <row r="4" ht="45" customHeight="1">
      <c r="A4" s="3" t="inlineStr">
        <is>
          <t>Nome da turma (conferência)</t>
        </is>
      </c>
      <c r="B4" s="3" t="inlineStr">
        <is>
          <t>Título do estudo</t>
        </is>
      </c>
      <c r="C4" s="3" t="inlineStr">
        <is>
          <t>Início da semana</t>
        </is>
      </c>
      <c r="D4" s="3" t="inlineStr">
        <is>
          <t>Nome do módulo (opcional)</t>
        </is>
      </c>
      <c r="E4" s="3" t="inlineStr">
        <is>
          <t>Objetivo ou resumo (opcional)</t>
        </is>
      </c>
      <c r="F4" s="3" t="inlineStr">
        <is>
          <t>Introdução do estudo (opcional)</t>
        </is>
      </c>
      <c r="G4" s="3" t="inlineStr">
        <is>
          <t>Validação</t>
        </is>
      </c>
    </row>
    <row r="5" ht="170" customHeight="1">
      <c r="A5" s="5" t="n"/>
      <c r="B5" s="5" t="n"/>
      <c r="C5" s="8" t="n"/>
      <c r="D5" s="5" t="n"/>
      <c r="E5" s="5" t="n"/>
      <c r="F5" s="5" t="n"/>
      <c r="G5" s="9">
        <f>IF(COUNTA(A5:F5)=0,"",IF(B5="","Preencher título",IF(OR(LEN(B5)&lt;3,LEN(B5)&gt;160),"Revisar título",IF(C5="","Semana pendente",IF(NOT(ISNUMBER(C5)),"Revisar data",IF(OR(LEN(E5)&gt;500,LEN(F5)&gt;12000),"Texto acima do limite","Conferir na prévia"))))))</f>
        <v/>
      </c>
    </row>
  </sheetData>
  <mergeCells count="2">
    <mergeCell ref="A2:G2"/>
    <mergeCell ref="A1:G1"/>
  </mergeCells>
  <dataValidations count="4">
    <dataValidation sqref="B5" showDropDown="0" showInputMessage="0" showErrorMessage="1" allowBlank="1" errorTitle="Texto acima do limite" error="Use no máximo 160 caracteres. A prévia do sistema fará a validação final." type="textLength" errorStyle="stop" operator="lessThanOrEqual">
      <formula1>160</formula1>
    </dataValidation>
    <dataValidation sqref="E5" showDropDown="0" showInputMessage="0" showErrorMessage="1" allowBlank="1" errorTitle="Texto acima do limite" error="Use no máximo 500 caracteres. A prévia do sistema fará a validação final." type="textLength" errorStyle="stop" operator="lessThanOrEqual">
      <formula1>500</formula1>
    </dataValidation>
    <dataValidation sqref="F5" showDropDown="0" showInputMessage="0" showErrorMessage="1" allowBlank="1" errorTitle="Texto acima do limite" error="Use no máximo 12000 caracteres. A prévia do sistema fará a validação final." type="textLength" errorStyle="stop" operator="lessThanOrEqual">
      <formula1>12000</formula1>
    </dataValidation>
    <dataValidation sqref="C5" showDropDown="0" showInputMessage="1" showErrorMessage="1" allowBlank="1" error="Informe uma data válida ou deixe vazio para completar na prévia." promptTitle="Data civil" prompt="Digite uma data como 19/10/2026. Não é necessário horário." type="date" errorStyle="stop" operator="between">
      <formula1>DATE(1900,1,1)</formula1>
      <formula2>DATE(9999,12,31)</formula2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&amp;C&amp;8 Ide Fazei | Modelo editorial v2 — proposta |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E8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95" customWidth="1" min="3" max="3"/>
    <col width="66" customWidth="1" min="4" max="4"/>
    <col width="31" customWidth="1" min="5" max="5"/>
  </cols>
  <sheetData>
    <row r="1" ht="30" customHeight="1">
      <c r="A1" s="1" t="inlineStr">
        <is>
          <t>2. Conteúdo das quatro etapas</t>
        </is>
      </c>
    </row>
    <row r="2" ht="42" customHeight="1">
      <c r="A2" s="2" t="inlineStr">
        <is>
          <t>Quatro linhas fixas. Responda recebe somente a orientação; as perguntas e seus gabaritos ficam na aba PERGUNTAS.</t>
        </is>
      </c>
    </row>
    <row r="4" ht="45" customHeight="1">
      <c r="A4" s="3" t="inlineStr">
        <is>
          <t>Ordem</t>
        </is>
      </c>
      <c r="B4" s="3" t="inlineStr">
        <is>
          <t>Etapa</t>
        </is>
      </c>
      <c r="C4" s="3" t="inlineStr">
        <is>
          <t>Conteúdo da etapa</t>
        </is>
      </c>
      <c r="D4" s="3" t="inlineStr">
        <is>
          <t>Para refletir (opcional)</t>
        </is>
      </c>
      <c r="E4" s="3" t="inlineStr">
        <is>
          <t>Validação</t>
        </is>
      </c>
    </row>
    <row r="5" ht="154" customHeight="1">
      <c r="A5" s="10" t="n">
        <v>1</v>
      </c>
      <c r="B5" s="10" t="inlineStr">
        <is>
          <t>Leia</t>
        </is>
      </c>
      <c r="C5" s="5" t="n"/>
      <c r="D5" s="5" t="n"/>
      <c r="E5" s="9">
        <f>IF(COUNTA(C5:D5)=0,"",IF(C5="","Conteúdo pendente",IF(OR(LEN(C5)&gt;12000,LEN(D5)&gt;1000),"Texto acima do limite","Conferir na prévia")))</f>
        <v/>
      </c>
    </row>
    <row r="6" ht="154" customHeight="1">
      <c r="A6" s="10" t="n">
        <v>2</v>
      </c>
      <c r="B6" s="10" t="inlineStr">
        <is>
          <t>Entenda</t>
        </is>
      </c>
      <c r="C6" s="7" t="n"/>
      <c r="D6" s="7" t="n"/>
      <c r="E6" s="9">
        <f>IF(COUNTA(C6:D6)=0,"",IF(C6="","Conteúdo pendente",IF(OR(LEN(C6)&gt;12000,LEN(D6)&gt;1000),"Texto acima do limite","Conferir na prévia")))</f>
        <v/>
      </c>
    </row>
    <row r="7" ht="154" customHeight="1">
      <c r="A7" s="10" t="n">
        <v>3</v>
      </c>
      <c r="B7" s="10" t="inlineStr">
        <is>
          <t>Responda</t>
        </is>
      </c>
      <c r="C7" s="5" t="n"/>
      <c r="D7" s="5" t="n"/>
      <c r="E7" s="9">
        <f>IF(COUNTA(C7:D7)=0,"",IF(C7="","Conteúdo pendente",IF(OR(LEN(C7)&gt;12000,LEN(D7)&gt;1000),"Texto acima do limite","Conferir na prévia")))</f>
        <v/>
      </c>
    </row>
    <row r="8" ht="154" customHeight="1">
      <c r="A8" s="10" t="n">
        <v>4</v>
      </c>
      <c r="B8" s="10" t="inlineStr">
        <is>
          <t>Aplique</t>
        </is>
      </c>
      <c r="C8" s="7" t="n"/>
      <c r="D8" s="7" t="n"/>
      <c r="E8" s="9">
        <f>IF(COUNTA(C8:D8)=0,"",IF(C8="","Conteúdo pendente",IF(OR(LEN(C8)&gt;12000,LEN(D8)&gt;1000),"Texto acima do limite","Conferir na prévia")))</f>
        <v/>
      </c>
    </row>
  </sheetData>
  <mergeCells count="2">
    <mergeCell ref="A2:E2"/>
    <mergeCell ref="A1:E1"/>
  </mergeCells>
  <dataValidations count="2">
    <dataValidation sqref="C5:C8" showDropDown="0" showInputMessage="0" showErrorMessage="1" allowBlank="1" errorTitle="Texto acima do limite" error="Use no máximo 12000 caracteres. A prévia do sistema fará a validação final." type="textLength" errorStyle="stop" operator="lessThanOrEqual">
      <formula1>12000</formula1>
    </dataValidation>
    <dataValidation sqref="D5:D8" showDropDown="0" showInputMessage="0" showErrorMessage="1" allowBlank="1" errorTitle="Texto acima do limite" error="Use no máximo 1000 caracteres. A prévia do sistema fará a validação final." type="textLength" errorStyle="stop" operator="lessThanOrEqual">
      <formula1>1000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&amp;C&amp;8 Ide Fazei | Modelo editorial v2 — proposta | &amp;P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K24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5" customWidth="1" min="2" max="2"/>
    <col width="37" customWidth="1" min="3" max="3"/>
    <col width="37" customWidth="1" min="4" max="4"/>
    <col width="37" customWidth="1" min="5" max="5"/>
    <col width="37" customWidth="1" min="6" max="6"/>
    <col hidden="1" outlineLevel="1" width="37" customWidth="1" min="7" max="8"/>
    <col collapsed="1" width="17" customWidth="1" min="9" max="9"/>
    <col width="68" customWidth="1" min="10" max="10"/>
    <col width="31" customWidth="1" min="11" max="11"/>
  </cols>
  <sheetData>
    <row r="1" ht="30" customHeight="1">
      <c r="A1" s="1" t="inlineStr">
        <is>
          <t>3. Perguntas de Responda</t>
        </is>
      </c>
    </row>
    <row r="2" ht="52" customHeight="1">
      <c r="A2" s="2" t="inlineStr">
        <is>
          <t>Uma linha por pergunta, de 2 a 6 alternativas. A/B obrigatórias quando houver pergunta; demais opcionais. Gabarito sem seleção prévia.</t>
        </is>
      </c>
    </row>
    <row r="4" ht="45" customHeight="1">
      <c r="A4" s="3" t="inlineStr">
        <is>
          <t>Ordem da pergunta</t>
        </is>
      </c>
      <c r="B4" s="3" t="inlineStr">
        <is>
          <t>Enunciado</t>
        </is>
      </c>
      <c r="C4" s="3" t="inlineStr">
        <is>
          <t>Alternativa A</t>
        </is>
      </c>
      <c r="D4" s="3" t="inlineStr">
        <is>
          <t>Alternativa B</t>
        </is>
      </c>
      <c r="E4" s="3" t="inlineStr">
        <is>
          <t>Alternativa C (opcional)</t>
        </is>
      </c>
      <c r="F4" s="3" t="inlineStr">
        <is>
          <t>Alternativa D (opcional)</t>
        </is>
      </c>
      <c r="G4" s="3" t="inlineStr">
        <is>
          <t>Alternativa E (opcional)</t>
        </is>
      </c>
      <c r="H4" s="3" t="inlineStr">
        <is>
          <t>Alternativa F (opcional)</t>
        </is>
      </c>
      <c r="I4" s="3" t="inlineStr">
        <is>
          <t>Resposta correta</t>
        </is>
      </c>
      <c r="J4" s="3" t="inlineStr">
        <is>
          <t>Explicação da resposta</t>
        </is>
      </c>
      <c r="K4" s="3" t="inlineStr">
        <is>
          <t>Validação</t>
        </is>
      </c>
    </row>
    <row r="5" ht="9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9">
        <f>IF(COUNTA(A5:J5)=0,"",IF(OR(A5="",B5="",C5="",D5="",I5="",J5=""),"Completar pergunta",IF(OR(NOT(ISNUMBER(A5)),A5&lt;1,MOD(A5,1)&lt;&gt;0),"Revisar ordem",IF(COUNTIF($A$5:$A$24,A5)&gt;1,"Ordem repetida",IF(OR(LEN(B5)&lt;3,LEN(B5)&gt;4000,MAX(LEN(C5),LEN(D5),LEN(E5),LEN(F5),LEN(G5),LEN(H5))&gt;500,LEN(J5)&gt;4000),"Revisar limites",IF(OR(AND(E5="",COUNTA(F5:H5)&gt;0),AND(F5="",COUNTA(G5:H5)&gt;0),AND(G5="",H5&lt;&gt;"")),"Alternativas com lacuna",IF(OR(AND(I5="A",C5&lt;&gt;""),AND(I5="B",D5&lt;&gt;""),AND(I5="C",E5&lt;&gt;""),AND(I5="D",F5&lt;&gt;""),AND(I5="E",G5&lt;&gt;""),AND(I5="F",H5&lt;&gt;"")),"Conferir na prévia","Revisar gabarito")))))))</f>
        <v/>
      </c>
    </row>
    <row r="6" ht="9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9">
        <f>IF(COUNTA(A6:J6)=0,"",IF(OR(A6="",B6="",C6="",D6="",I6="",J6=""),"Completar pergunta",IF(OR(NOT(ISNUMBER(A6)),A6&lt;1,MOD(A6,1)&lt;&gt;0),"Revisar ordem",IF(COUNTIF($A$5:$A$24,A6)&gt;1,"Ordem repetida",IF(OR(LEN(B6)&lt;3,LEN(B6)&gt;4000,MAX(LEN(C6),LEN(D6),LEN(E6),LEN(F6),LEN(G6),LEN(H6))&gt;500,LEN(J6)&gt;4000),"Revisar limites",IF(OR(AND(E6="",COUNTA(F6:H6)&gt;0),AND(F6="",COUNTA(G6:H6)&gt;0),AND(G6="",H6&lt;&gt;"")),"Alternativas com lacuna",IF(OR(AND(I6="A",C6&lt;&gt;""),AND(I6="B",D6&lt;&gt;""),AND(I6="C",E6&lt;&gt;""),AND(I6="D",F6&lt;&gt;""),AND(I6="E",G6&lt;&gt;""),AND(I6="F",H6&lt;&gt;"")),"Conferir na prévia","Revisar gabarito")))))))</f>
        <v/>
      </c>
    </row>
    <row r="7" ht="9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9">
        <f>IF(COUNTA(A7:J7)=0,"",IF(OR(A7="",B7="",C7="",D7="",I7="",J7=""),"Completar pergunta",IF(OR(NOT(ISNUMBER(A7)),A7&lt;1,MOD(A7,1)&lt;&gt;0),"Revisar ordem",IF(COUNTIF($A$5:$A$24,A7)&gt;1,"Ordem repetida",IF(OR(LEN(B7)&lt;3,LEN(B7)&gt;4000,MAX(LEN(C7),LEN(D7),LEN(E7),LEN(F7),LEN(G7),LEN(H7))&gt;500,LEN(J7)&gt;4000),"Revisar limites",IF(OR(AND(E7="",COUNTA(F7:H7)&gt;0),AND(F7="",COUNTA(G7:H7)&gt;0),AND(G7="",H7&lt;&gt;"")),"Alternativas com lacuna",IF(OR(AND(I7="A",C7&lt;&gt;""),AND(I7="B",D7&lt;&gt;""),AND(I7="C",E7&lt;&gt;""),AND(I7="D",F7&lt;&gt;""),AND(I7="E",G7&lt;&gt;""),AND(I7="F",H7&lt;&gt;"")),"Conferir na prévia","Revisar gabarito")))))))</f>
        <v/>
      </c>
    </row>
    <row r="8" ht="9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9">
        <f>IF(COUNTA(A8:J8)=0,"",IF(OR(A8="",B8="",C8="",D8="",I8="",J8=""),"Completar pergunta",IF(OR(NOT(ISNUMBER(A8)),A8&lt;1,MOD(A8,1)&lt;&gt;0),"Revisar ordem",IF(COUNTIF($A$5:$A$24,A8)&gt;1,"Ordem repetida",IF(OR(LEN(B8)&lt;3,LEN(B8)&gt;4000,MAX(LEN(C8),LEN(D8),LEN(E8),LEN(F8),LEN(G8),LEN(H8))&gt;500,LEN(J8)&gt;4000),"Revisar limites",IF(OR(AND(E8="",COUNTA(F8:H8)&gt;0),AND(F8="",COUNTA(G8:H8)&gt;0),AND(G8="",H8&lt;&gt;"")),"Alternativas com lacuna",IF(OR(AND(I8="A",C8&lt;&gt;""),AND(I8="B",D8&lt;&gt;""),AND(I8="C",E8&lt;&gt;""),AND(I8="D",F8&lt;&gt;""),AND(I8="E",G8&lt;&gt;""),AND(I8="F",H8&lt;&gt;"")),"Conferir na prévia","Revisar gabarito")))))))</f>
        <v/>
      </c>
    </row>
    <row r="9" ht="9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9">
        <f>IF(COUNTA(A9:J9)=0,"",IF(OR(A9="",B9="",C9="",D9="",I9="",J9=""),"Completar pergunta",IF(OR(NOT(ISNUMBER(A9)),A9&lt;1,MOD(A9,1)&lt;&gt;0),"Revisar ordem",IF(COUNTIF($A$5:$A$24,A9)&gt;1,"Ordem repetida",IF(OR(LEN(B9)&lt;3,LEN(B9)&gt;4000,MAX(LEN(C9),LEN(D9),LEN(E9),LEN(F9),LEN(G9),LEN(H9))&gt;500,LEN(J9)&gt;4000),"Revisar limites",IF(OR(AND(E9="",COUNTA(F9:H9)&gt;0),AND(F9="",COUNTA(G9:H9)&gt;0),AND(G9="",H9&lt;&gt;"")),"Alternativas com lacuna",IF(OR(AND(I9="A",C9&lt;&gt;""),AND(I9="B",D9&lt;&gt;""),AND(I9="C",E9&lt;&gt;""),AND(I9="D",F9&lt;&gt;""),AND(I9="E",G9&lt;&gt;""),AND(I9="F",H9&lt;&gt;"")),"Conferir na prévia","Revisar gabarito")))))))</f>
        <v/>
      </c>
    </row>
    <row r="10" ht="9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9">
        <f>IF(COUNTA(A10:J10)=0,"",IF(OR(A10="",B10="",C10="",D10="",I10="",J10=""),"Completar pergunta",IF(OR(NOT(ISNUMBER(A10)),A10&lt;1,MOD(A10,1)&lt;&gt;0),"Revisar ordem",IF(COUNTIF($A$5:$A$24,A10)&gt;1,"Ordem repetida",IF(OR(LEN(B10)&lt;3,LEN(B10)&gt;4000,MAX(LEN(C10),LEN(D10),LEN(E10),LEN(F10),LEN(G10),LEN(H10))&gt;500,LEN(J10)&gt;4000),"Revisar limites",IF(OR(AND(E10="",COUNTA(F10:H10)&gt;0),AND(F10="",COUNTA(G10:H10)&gt;0),AND(G10="",H10&lt;&gt;"")),"Alternativas com lacuna",IF(OR(AND(I10="A",C10&lt;&gt;""),AND(I10="B",D10&lt;&gt;""),AND(I10="C",E10&lt;&gt;""),AND(I10="D",F10&lt;&gt;""),AND(I10="E",G10&lt;&gt;""),AND(I10="F",H10&lt;&gt;"")),"Conferir na prévia","Revisar gabarito")))))))</f>
        <v/>
      </c>
    </row>
    <row r="11" ht="9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9">
        <f>IF(COUNTA(A11:J11)=0,"",IF(OR(A11="",B11="",C11="",D11="",I11="",J11=""),"Completar pergunta",IF(OR(NOT(ISNUMBER(A11)),A11&lt;1,MOD(A11,1)&lt;&gt;0),"Revisar ordem",IF(COUNTIF($A$5:$A$24,A11)&gt;1,"Ordem repetida",IF(OR(LEN(B11)&lt;3,LEN(B11)&gt;4000,MAX(LEN(C11),LEN(D11),LEN(E11),LEN(F11),LEN(G11),LEN(H11))&gt;500,LEN(J11)&gt;4000),"Revisar limites",IF(OR(AND(E11="",COUNTA(F11:H11)&gt;0),AND(F11="",COUNTA(G11:H11)&gt;0),AND(G11="",H11&lt;&gt;"")),"Alternativas com lacuna",IF(OR(AND(I11="A",C11&lt;&gt;""),AND(I11="B",D11&lt;&gt;""),AND(I11="C",E11&lt;&gt;""),AND(I11="D",F11&lt;&gt;""),AND(I11="E",G11&lt;&gt;""),AND(I11="F",H11&lt;&gt;"")),"Conferir na prévia","Revisar gabarito")))))))</f>
        <v/>
      </c>
    </row>
    <row r="12" ht="9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9">
        <f>IF(COUNTA(A12:J12)=0,"",IF(OR(A12="",B12="",C12="",D12="",I12="",J12=""),"Completar pergunta",IF(OR(NOT(ISNUMBER(A12)),A12&lt;1,MOD(A12,1)&lt;&gt;0),"Revisar ordem",IF(COUNTIF($A$5:$A$24,A12)&gt;1,"Ordem repetida",IF(OR(LEN(B12)&lt;3,LEN(B12)&gt;4000,MAX(LEN(C12),LEN(D12),LEN(E12),LEN(F12),LEN(G12),LEN(H12))&gt;500,LEN(J12)&gt;4000),"Revisar limites",IF(OR(AND(E12="",COUNTA(F12:H12)&gt;0),AND(F12="",COUNTA(G12:H12)&gt;0),AND(G12="",H12&lt;&gt;"")),"Alternativas com lacuna",IF(OR(AND(I12="A",C12&lt;&gt;""),AND(I12="B",D12&lt;&gt;""),AND(I12="C",E12&lt;&gt;""),AND(I12="D",F12&lt;&gt;""),AND(I12="E",G12&lt;&gt;""),AND(I12="F",H12&lt;&gt;"")),"Conferir na prévia","Revisar gabarito")))))))</f>
        <v/>
      </c>
    </row>
    <row r="13" ht="9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9">
        <f>IF(COUNTA(A13:J13)=0,"",IF(OR(A13="",B13="",C13="",D13="",I13="",J13=""),"Completar pergunta",IF(OR(NOT(ISNUMBER(A13)),A13&lt;1,MOD(A13,1)&lt;&gt;0),"Revisar ordem",IF(COUNTIF($A$5:$A$24,A13)&gt;1,"Ordem repetida",IF(OR(LEN(B13)&lt;3,LEN(B13)&gt;4000,MAX(LEN(C13),LEN(D13),LEN(E13),LEN(F13),LEN(G13),LEN(H13))&gt;500,LEN(J13)&gt;4000),"Revisar limites",IF(OR(AND(E13="",COUNTA(F13:H13)&gt;0),AND(F13="",COUNTA(G13:H13)&gt;0),AND(G13="",H13&lt;&gt;"")),"Alternativas com lacuna",IF(OR(AND(I13="A",C13&lt;&gt;""),AND(I13="B",D13&lt;&gt;""),AND(I13="C",E13&lt;&gt;""),AND(I13="D",F13&lt;&gt;""),AND(I13="E",G13&lt;&gt;""),AND(I13="F",H13&lt;&gt;"")),"Conferir na prévia","Revisar gabarito")))))))</f>
        <v/>
      </c>
    </row>
    <row r="14" ht="9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9">
        <f>IF(COUNTA(A14:J14)=0,"",IF(OR(A14="",B14="",C14="",D14="",I14="",J14=""),"Completar pergunta",IF(OR(NOT(ISNUMBER(A14)),A14&lt;1,MOD(A14,1)&lt;&gt;0),"Revisar ordem",IF(COUNTIF($A$5:$A$24,A14)&gt;1,"Ordem repetida",IF(OR(LEN(B14)&lt;3,LEN(B14)&gt;4000,MAX(LEN(C14),LEN(D14),LEN(E14),LEN(F14),LEN(G14),LEN(H14))&gt;500,LEN(J14)&gt;4000),"Revisar limites",IF(OR(AND(E14="",COUNTA(F14:H14)&gt;0),AND(F14="",COUNTA(G14:H14)&gt;0),AND(G14="",H14&lt;&gt;"")),"Alternativas com lacuna",IF(OR(AND(I14="A",C14&lt;&gt;""),AND(I14="B",D14&lt;&gt;""),AND(I14="C",E14&lt;&gt;""),AND(I14="D",F14&lt;&gt;""),AND(I14="E",G14&lt;&gt;""),AND(I14="F",H14&lt;&gt;"")),"Conferir na prévia","Revisar gabarito")))))))</f>
        <v/>
      </c>
    </row>
    <row r="15" ht="9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9">
        <f>IF(COUNTA(A15:J15)=0,"",IF(OR(A15="",B15="",C15="",D15="",I15="",J15=""),"Completar pergunta",IF(OR(NOT(ISNUMBER(A15)),A15&lt;1,MOD(A15,1)&lt;&gt;0),"Revisar ordem",IF(COUNTIF($A$5:$A$24,A15)&gt;1,"Ordem repetida",IF(OR(LEN(B15)&lt;3,LEN(B15)&gt;4000,MAX(LEN(C15),LEN(D15),LEN(E15),LEN(F15),LEN(G15),LEN(H15))&gt;500,LEN(J15)&gt;4000),"Revisar limites",IF(OR(AND(E15="",COUNTA(F15:H15)&gt;0),AND(F15="",COUNTA(G15:H15)&gt;0),AND(G15="",H15&lt;&gt;"")),"Alternativas com lacuna",IF(OR(AND(I15="A",C15&lt;&gt;""),AND(I15="B",D15&lt;&gt;""),AND(I15="C",E15&lt;&gt;""),AND(I15="D",F15&lt;&gt;""),AND(I15="E",G15&lt;&gt;""),AND(I15="F",H15&lt;&gt;"")),"Conferir na prévia","Revisar gabarito")))))))</f>
        <v/>
      </c>
    </row>
    <row r="16" ht="9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9">
        <f>IF(COUNTA(A16:J16)=0,"",IF(OR(A16="",B16="",C16="",D16="",I16="",J16=""),"Completar pergunta",IF(OR(NOT(ISNUMBER(A16)),A16&lt;1,MOD(A16,1)&lt;&gt;0),"Revisar ordem",IF(COUNTIF($A$5:$A$24,A16)&gt;1,"Ordem repetida",IF(OR(LEN(B16)&lt;3,LEN(B16)&gt;4000,MAX(LEN(C16),LEN(D16),LEN(E16),LEN(F16),LEN(G16),LEN(H16))&gt;500,LEN(J16)&gt;4000),"Revisar limites",IF(OR(AND(E16="",COUNTA(F16:H16)&gt;0),AND(F16="",COUNTA(G16:H16)&gt;0),AND(G16="",H16&lt;&gt;"")),"Alternativas com lacuna",IF(OR(AND(I16="A",C16&lt;&gt;""),AND(I16="B",D16&lt;&gt;""),AND(I16="C",E16&lt;&gt;""),AND(I16="D",F16&lt;&gt;""),AND(I16="E",G16&lt;&gt;""),AND(I16="F",H16&lt;&gt;"")),"Conferir na prévia","Revisar gabarito")))))))</f>
        <v/>
      </c>
    </row>
    <row r="17" ht="9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9">
        <f>IF(COUNTA(A17:J17)=0,"",IF(OR(A17="",B17="",C17="",D17="",I17="",J17=""),"Completar pergunta",IF(OR(NOT(ISNUMBER(A17)),A17&lt;1,MOD(A17,1)&lt;&gt;0),"Revisar ordem",IF(COUNTIF($A$5:$A$24,A17)&gt;1,"Ordem repetida",IF(OR(LEN(B17)&lt;3,LEN(B17)&gt;4000,MAX(LEN(C17),LEN(D17),LEN(E17),LEN(F17),LEN(G17),LEN(H17))&gt;500,LEN(J17)&gt;4000),"Revisar limites",IF(OR(AND(E17="",COUNTA(F17:H17)&gt;0),AND(F17="",COUNTA(G17:H17)&gt;0),AND(G17="",H17&lt;&gt;"")),"Alternativas com lacuna",IF(OR(AND(I17="A",C17&lt;&gt;""),AND(I17="B",D17&lt;&gt;""),AND(I17="C",E17&lt;&gt;""),AND(I17="D",F17&lt;&gt;""),AND(I17="E",G17&lt;&gt;""),AND(I17="F",H17&lt;&gt;"")),"Conferir na prévia","Revisar gabarito")))))))</f>
        <v/>
      </c>
    </row>
    <row r="18" ht="9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9">
        <f>IF(COUNTA(A18:J18)=0,"",IF(OR(A18="",B18="",C18="",D18="",I18="",J18=""),"Completar pergunta",IF(OR(NOT(ISNUMBER(A18)),A18&lt;1,MOD(A18,1)&lt;&gt;0),"Revisar ordem",IF(COUNTIF($A$5:$A$24,A18)&gt;1,"Ordem repetida",IF(OR(LEN(B18)&lt;3,LEN(B18)&gt;4000,MAX(LEN(C18),LEN(D18),LEN(E18),LEN(F18),LEN(G18),LEN(H18))&gt;500,LEN(J18)&gt;4000),"Revisar limites",IF(OR(AND(E18="",COUNTA(F18:H18)&gt;0),AND(F18="",COUNTA(G18:H18)&gt;0),AND(G18="",H18&lt;&gt;"")),"Alternativas com lacuna",IF(OR(AND(I18="A",C18&lt;&gt;""),AND(I18="B",D18&lt;&gt;""),AND(I18="C",E18&lt;&gt;""),AND(I18="D",F18&lt;&gt;""),AND(I18="E",G18&lt;&gt;""),AND(I18="F",H18&lt;&gt;"")),"Conferir na prévia","Revisar gabarito")))))))</f>
        <v/>
      </c>
    </row>
    <row r="19" ht="9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9">
        <f>IF(COUNTA(A19:J19)=0,"",IF(OR(A19="",B19="",C19="",D19="",I19="",J19=""),"Completar pergunta",IF(OR(NOT(ISNUMBER(A19)),A19&lt;1,MOD(A19,1)&lt;&gt;0),"Revisar ordem",IF(COUNTIF($A$5:$A$24,A19)&gt;1,"Ordem repetida",IF(OR(LEN(B19)&lt;3,LEN(B19)&gt;4000,MAX(LEN(C19),LEN(D19),LEN(E19),LEN(F19),LEN(G19),LEN(H19))&gt;500,LEN(J19)&gt;4000),"Revisar limites",IF(OR(AND(E19="",COUNTA(F19:H19)&gt;0),AND(F19="",COUNTA(G19:H19)&gt;0),AND(G19="",H19&lt;&gt;"")),"Alternativas com lacuna",IF(OR(AND(I19="A",C19&lt;&gt;""),AND(I19="B",D19&lt;&gt;""),AND(I19="C",E19&lt;&gt;""),AND(I19="D",F19&lt;&gt;""),AND(I19="E",G19&lt;&gt;""),AND(I19="F",H19&lt;&gt;"")),"Conferir na prévia","Revisar gabarito")))))))</f>
        <v/>
      </c>
    </row>
    <row r="20" ht="9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9">
        <f>IF(COUNTA(A20:J20)=0,"",IF(OR(A20="",B20="",C20="",D20="",I20="",J20=""),"Completar pergunta",IF(OR(NOT(ISNUMBER(A20)),A20&lt;1,MOD(A20,1)&lt;&gt;0),"Revisar ordem",IF(COUNTIF($A$5:$A$24,A20)&gt;1,"Ordem repetida",IF(OR(LEN(B20)&lt;3,LEN(B20)&gt;4000,MAX(LEN(C20),LEN(D20),LEN(E20),LEN(F20),LEN(G20),LEN(H20))&gt;500,LEN(J20)&gt;4000),"Revisar limites",IF(OR(AND(E20="",COUNTA(F20:H20)&gt;0),AND(F20="",COUNTA(G20:H20)&gt;0),AND(G20="",H20&lt;&gt;"")),"Alternativas com lacuna",IF(OR(AND(I20="A",C20&lt;&gt;""),AND(I20="B",D20&lt;&gt;""),AND(I20="C",E20&lt;&gt;""),AND(I20="D",F20&lt;&gt;""),AND(I20="E",G20&lt;&gt;""),AND(I20="F",H20&lt;&gt;"")),"Conferir na prévia","Revisar gabarito")))))))</f>
        <v/>
      </c>
    </row>
    <row r="21" ht="9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9">
        <f>IF(COUNTA(A21:J21)=0,"",IF(OR(A21="",B21="",C21="",D21="",I21="",J21=""),"Completar pergunta",IF(OR(NOT(ISNUMBER(A21)),A21&lt;1,MOD(A21,1)&lt;&gt;0),"Revisar ordem",IF(COUNTIF($A$5:$A$24,A21)&gt;1,"Ordem repetida",IF(OR(LEN(B21)&lt;3,LEN(B21)&gt;4000,MAX(LEN(C21),LEN(D21),LEN(E21),LEN(F21),LEN(G21),LEN(H21))&gt;500,LEN(J21)&gt;4000),"Revisar limites",IF(OR(AND(E21="",COUNTA(F21:H21)&gt;0),AND(F21="",COUNTA(G21:H21)&gt;0),AND(G21="",H21&lt;&gt;"")),"Alternativas com lacuna",IF(OR(AND(I21="A",C21&lt;&gt;""),AND(I21="B",D21&lt;&gt;""),AND(I21="C",E21&lt;&gt;""),AND(I21="D",F21&lt;&gt;""),AND(I21="E",G21&lt;&gt;""),AND(I21="F",H21&lt;&gt;"")),"Conferir na prévia","Revisar gabarito")))))))</f>
        <v/>
      </c>
    </row>
    <row r="22" ht="9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9">
        <f>IF(COUNTA(A22:J22)=0,"",IF(OR(A22="",B22="",C22="",D22="",I22="",J22=""),"Completar pergunta",IF(OR(NOT(ISNUMBER(A22)),A22&lt;1,MOD(A22,1)&lt;&gt;0),"Revisar ordem",IF(COUNTIF($A$5:$A$24,A22)&gt;1,"Ordem repetida",IF(OR(LEN(B22)&lt;3,LEN(B22)&gt;4000,MAX(LEN(C22),LEN(D22),LEN(E22),LEN(F22),LEN(G22),LEN(H22))&gt;500,LEN(J22)&gt;4000),"Revisar limites",IF(OR(AND(E22="",COUNTA(F22:H22)&gt;0),AND(F22="",COUNTA(G22:H22)&gt;0),AND(G22="",H22&lt;&gt;"")),"Alternativas com lacuna",IF(OR(AND(I22="A",C22&lt;&gt;""),AND(I22="B",D22&lt;&gt;""),AND(I22="C",E22&lt;&gt;""),AND(I22="D",F22&lt;&gt;""),AND(I22="E",G22&lt;&gt;""),AND(I22="F",H22&lt;&gt;"")),"Conferir na prévia","Revisar gabarito")))))))</f>
        <v/>
      </c>
    </row>
    <row r="23" ht="9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9">
        <f>IF(COUNTA(A23:J23)=0,"",IF(OR(A23="",B23="",C23="",D23="",I23="",J23=""),"Completar pergunta",IF(OR(NOT(ISNUMBER(A23)),A23&lt;1,MOD(A23,1)&lt;&gt;0),"Revisar ordem",IF(COUNTIF($A$5:$A$24,A23)&gt;1,"Ordem repetida",IF(OR(LEN(B23)&lt;3,LEN(B23)&gt;4000,MAX(LEN(C23),LEN(D23),LEN(E23),LEN(F23),LEN(G23),LEN(H23))&gt;500,LEN(J23)&gt;4000),"Revisar limites",IF(OR(AND(E23="",COUNTA(F23:H23)&gt;0),AND(F23="",COUNTA(G23:H23)&gt;0),AND(G23="",H23&lt;&gt;"")),"Alternativas com lacuna",IF(OR(AND(I23="A",C23&lt;&gt;""),AND(I23="B",D23&lt;&gt;""),AND(I23="C",E23&lt;&gt;""),AND(I23="D",F23&lt;&gt;""),AND(I23="E",G23&lt;&gt;""),AND(I23="F",H23&lt;&gt;"")),"Conferir na prévia","Revisar gabarito")))))))</f>
        <v/>
      </c>
    </row>
    <row r="24" ht="9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9">
        <f>IF(COUNTA(A24:J24)=0,"",IF(OR(A24="",B24="",C24="",D24="",I24="",J24=""),"Completar pergunta",IF(OR(NOT(ISNUMBER(A24)),A24&lt;1,MOD(A24,1)&lt;&gt;0),"Revisar ordem",IF(COUNTIF($A$5:$A$24,A24)&gt;1,"Ordem repetida",IF(OR(LEN(B24)&lt;3,LEN(B24)&gt;4000,MAX(LEN(C24),LEN(D24),LEN(E24),LEN(F24),LEN(G24),LEN(H24))&gt;500,LEN(J24)&gt;4000),"Revisar limites",IF(OR(AND(E24="",COUNTA(F24:H24)&gt;0),AND(F24="",COUNTA(G24:H24)&gt;0),AND(G24="",H24&lt;&gt;"")),"Alternativas com lacuna",IF(OR(AND(I24="A",C24&lt;&gt;""),AND(I24="B",D24&lt;&gt;""),AND(I24="C",E24&lt;&gt;""),AND(I24="D",F24&lt;&gt;""),AND(I24="E",G24&lt;&gt;""),AND(I24="F",H24&lt;&gt;"")),"Conferir na prévia","Revisar gabarito")))))))</f>
        <v/>
      </c>
    </row>
  </sheetData>
  <mergeCells count="2">
    <mergeCell ref="A2:K2"/>
    <mergeCell ref="A1:K1"/>
  </mergeCells>
  <dataValidations count="5">
    <dataValidation sqref="A5:A24" showDropDown="0" showInputMessage="0" showErrorMessage="1" allowBlank="1" error="Use um número inteiro positivo ou deixe vazio." type="whole" errorStyle="stop" operator="greaterThanOrEqual">
      <formula1>1</formula1>
    </dataValidation>
    <dataValidation sqref="B5:B24" showDropDown="0" showInputMessage="0" showErrorMessage="1" allowBlank="1" errorTitle="Texto acima do limite" error="Use no máximo 4000 caracteres. A prévia do sistema fará a validação final." type="textLength" errorStyle="stop" operator="lessThanOrEqual">
      <formula1>4000</formula1>
    </dataValidation>
    <dataValidation sqref="C5:H24" showDropDown="0" showInputMessage="0" showErrorMessage="1" allowBlank="1" errorTitle="Texto acima do limite" error="Use no máximo 500 caracteres. A prévia do sistema fará a validação final." type="textLength" errorStyle="stop" operator="lessThanOrEqual">
      <formula1>500</formula1>
    </dataValidation>
    <dataValidation sqref="J5:J24" showDropDown="0" showInputMessage="0" showErrorMessage="1" allowBlank="1" errorTitle="Texto acima do limite" error="Use no máximo 4000 caracteres. A prévia do sistema fará a validação final." type="textLength" errorStyle="stop" operator="lessThanOrEqual">
      <formula1>4000</formula1>
    </dataValidation>
    <dataValidation sqref="I5:I24" showDropDown="0" showInputMessage="1" showErrorMessage="1" allowBlank="1" errorTitle="Escolha um valor da lista" error="Use uma opção da lista ou deixe vazio." promptTitle="Preenchimento" prompt="Escolha a alternativa correta, de A a F, somente após preencher as alternativas." type="list" errorStyle="stop">
      <formula1>=RespostasPossiveis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&amp;C&amp;8 Ide Fazei | Modelo editorial v2 — proposta | &amp;P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AAB4C3"/>
    <outlinePr summaryBelow="1" summaryRight="1"/>
    <pageSetUpPr fitToPage="1"/>
  </sheetPr>
  <dimension ref="A1:D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85" customWidth="1" min="3" max="3"/>
    <col width="34" customWidth="1" min="4" max="4"/>
  </cols>
  <sheetData>
    <row r="1" ht="30" customHeight="1">
      <c r="A1" s="1" t="inlineStr">
        <is>
          <t>Opcional — Aula presencial</t>
        </is>
      </c>
    </row>
    <row r="2" ht="42" customHeight="1">
      <c r="A2" s="2" t="inlineStr">
        <is>
          <t>Deixe a linha vazia se não houver aula. Não registra presença, matrícula ou progresso.</t>
        </is>
      </c>
    </row>
    <row r="4" ht="45" customHeight="1">
      <c r="A4" s="3" t="inlineStr">
        <is>
          <t>Data da aula</t>
        </is>
      </c>
      <c r="B4" s="3" t="inlineStr">
        <is>
          <t>Status da aula</t>
        </is>
      </c>
      <c r="C4" s="3" t="inlineStr">
        <is>
          <t>Observação (opcional)</t>
        </is>
      </c>
      <c r="D4" s="3" t="inlineStr">
        <is>
          <t>Validação</t>
        </is>
      </c>
    </row>
    <row r="5" ht="110" customHeight="1">
      <c r="A5" s="8" t="n"/>
      <c r="B5" s="5" t="n"/>
      <c r="C5" s="5" t="n"/>
      <c r="D5" s="9">
        <f>IF(COUNTA(A5:C5)=0,"",IF(OR(A5="",B5=""),"Completar data/status",IF(NOT(ISNUMBER(A5)),"Revisar data",IF(WEEKDAY(A5,2)&lt;&gt;7,"A data deve ser domingo",IF(AND(ISNUMBER(ESTUDO!C5),A5&lt;ESTUDO!C5),"Aula anterior à semana",IF(LEN(C5)&gt;2000,"Texto acima do limite","Conferir na prévia"))))))</f>
        <v/>
      </c>
    </row>
  </sheetData>
  <mergeCells count="2">
    <mergeCell ref="A1:D1"/>
    <mergeCell ref="A2:D2"/>
  </mergeCells>
  <dataValidations count="3">
    <dataValidation sqref="A5" showDropDown="0" showInputMessage="1" showErrorMessage="1" allowBlank="1" error="Informe uma data válida ou deixe vazio para completar na prévia." promptTitle="Data civil" prompt="Digite uma data como 19/10/2026. Não é necessário horário." type="date" errorStyle="stop" operator="between">
      <formula1>DATE(1900,1,1)</formula1>
      <formula2>DATE(9999,12,31)</formula2>
    </dataValidation>
    <dataValidation sqref="B5" showDropDown="0" showInputMessage="1" showErrorMessage="1" allowBlank="1" errorTitle="Escolha um valor da lista" error="Use uma opção da lista ou deixe vazio." promptTitle="Preenchimento" prompt="Escolha o status da aula ou deixe a aba vazia." type="list" errorStyle="stop">
      <formula1>=StatusAula</formula1>
    </dataValidation>
    <dataValidation sqref="C5" showDropDown="0" showInputMessage="0" showErrorMessage="1" allowBlank="1" errorTitle="Texto acima do limite" error="Use no máximo 2000 caracteres. A prévia do sistema fará a validação final." type="textLength" errorStyle="stop" operator="lessThanOrEqual">
      <formula1>2000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&amp;C&amp;8 Ide Fazei | Modelo editorial v2 — proposta |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AAB4C3"/>
    <outlinePr summaryBelow="1" summaryRight="1"/>
    <pageSetUpPr fitToPage="1"/>
  </sheetPr>
  <dimension ref="A1:D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4" customWidth="1" min="2" max="2"/>
    <col width="73" customWidth="1" min="3" max="3"/>
    <col width="32" customWidth="1" min="4" max="4"/>
  </cols>
  <sheetData>
    <row r="1" ht="30" customHeight="1">
      <c r="A1" s="1" t="inlineStr">
        <is>
          <t>Opcional — Materiais existentes</t>
        </is>
      </c>
    </row>
    <row r="2" ht="42" customHeight="1">
      <c r="A2" s="2" t="inlineStr">
        <is>
          <t>Vincule apenas itens já cadastrados na Biblioteca Digital da igreja. Uma linha vazia não cria vínculo.</t>
        </is>
      </c>
    </row>
    <row r="4" ht="45" customHeight="1">
      <c r="A4" s="3" t="inlineStr">
        <is>
          <t>Ordem</t>
        </is>
      </c>
      <c r="B4" s="3" t="inlineStr">
        <is>
          <t>Título na Biblioteca Digital</t>
        </is>
      </c>
      <c r="C4" s="3" t="inlineStr">
        <is>
          <t>Observação (opcional)</t>
        </is>
      </c>
      <c r="D4" s="3" t="inlineStr">
        <is>
          <t>Validação</t>
        </is>
      </c>
    </row>
    <row r="5" ht="55" customHeight="1">
      <c r="A5" s="5" t="n"/>
      <c r="B5" s="5" t="n"/>
      <c r="C5" s="5" t="n"/>
      <c r="D5" s="9">
        <f>IF(COUNTA(A5:C5)=0,"",IF(OR(A5="",B5=""),"Completar ordem/título",IF(OR(NOT(ISNUMBER(A5)),A5&lt;1,MOD(A5,1)&lt;&gt;0),"Revisar ordem",IF(COUNTIF($A$5:$A$14,A5)&gt;1,"Ordem repetida",IF(LEN(C5)&gt;2000,"Texto acima do limite","Conferir na prévia")))))</f>
        <v/>
      </c>
    </row>
    <row r="6" ht="55" customHeight="1">
      <c r="A6" s="7" t="n"/>
      <c r="B6" s="7" t="n"/>
      <c r="C6" s="7" t="n"/>
      <c r="D6" s="9">
        <f>IF(COUNTA(A6:C6)=0,"",IF(OR(A6="",B6=""),"Completar ordem/título",IF(OR(NOT(ISNUMBER(A6)),A6&lt;1,MOD(A6,1)&lt;&gt;0),"Revisar ordem",IF(COUNTIF($A$5:$A$14,A6)&gt;1,"Ordem repetida",IF(LEN(C6)&gt;2000,"Texto acima do limite","Conferir na prévia")))))</f>
        <v/>
      </c>
    </row>
    <row r="7" ht="55" customHeight="1">
      <c r="A7" s="5" t="n"/>
      <c r="B7" s="5" t="n"/>
      <c r="C7" s="5" t="n"/>
      <c r="D7" s="9">
        <f>IF(COUNTA(A7:C7)=0,"",IF(OR(A7="",B7=""),"Completar ordem/título",IF(OR(NOT(ISNUMBER(A7)),A7&lt;1,MOD(A7,1)&lt;&gt;0),"Revisar ordem",IF(COUNTIF($A$5:$A$14,A7)&gt;1,"Ordem repetida",IF(LEN(C7)&gt;2000,"Texto acima do limite","Conferir na prévia")))))</f>
        <v/>
      </c>
    </row>
    <row r="8" ht="55" customHeight="1">
      <c r="A8" s="7" t="n"/>
      <c r="B8" s="7" t="n"/>
      <c r="C8" s="7" t="n"/>
      <c r="D8" s="9">
        <f>IF(COUNTA(A8:C8)=0,"",IF(OR(A8="",B8=""),"Completar ordem/título",IF(OR(NOT(ISNUMBER(A8)),A8&lt;1,MOD(A8,1)&lt;&gt;0),"Revisar ordem",IF(COUNTIF($A$5:$A$14,A8)&gt;1,"Ordem repetida",IF(LEN(C8)&gt;2000,"Texto acima do limite","Conferir na prévia")))))</f>
        <v/>
      </c>
    </row>
    <row r="9" ht="55" customHeight="1">
      <c r="A9" s="5" t="n"/>
      <c r="B9" s="5" t="n"/>
      <c r="C9" s="5" t="n"/>
      <c r="D9" s="9">
        <f>IF(COUNTA(A9:C9)=0,"",IF(OR(A9="",B9=""),"Completar ordem/título",IF(OR(NOT(ISNUMBER(A9)),A9&lt;1,MOD(A9,1)&lt;&gt;0),"Revisar ordem",IF(COUNTIF($A$5:$A$14,A9)&gt;1,"Ordem repetida",IF(LEN(C9)&gt;2000,"Texto acima do limite","Conferir na prévia")))))</f>
        <v/>
      </c>
    </row>
    <row r="10" ht="55" customHeight="1">
      <c r="A10" s="7" t="n"/>
      <c r="B10" s="7" t="n"/>
      <c r="C10" s="7" t="n"/>
      <c r="D10" s="9">
        <f>IF(COUNTA(A10:C10)=0,"",IF(OR(A10="",B10=""),"Completar ordem/título",IF(OR(NOT(ISNUMBER(A10)),A10&lt;1,MOD(A10,1)&lt;&gt;0),"Revisar ordem",IF(COUNTIF($A$5:$A$14,A10)&gt;1,"Ordem repetida",IF(LEN(C10)&gt;2000,"Texto acima do limite","Conferir na prévia")))))</f>
        <v/>
      </c>
    </row>
    <row r="11" ht="55" customHeight="1">
      <c r="A11" s="5" t="n"/>
      <c r="B11" s="5" t="n"/>
      <c r="C11" s="5" t="n"/>
      <c r="D11" s="9">
        <f>IF(COUNTA(A11:C11)=0,"",IF(OR(A11="",B11=""),"Completar ordem/título",IF(OR(NOT(ISNUMBER(A11)),A11&lt;1,MOD(A11,1)&lt;&gt;0),"Revisar ordem",IF(COUNTIF($A$5:$A$14,A11)&gt;1,"Ordem repetida",IF(LEN(C11)&gt;2000,"Texto acima do limite","Conferir na prévia")))))</f>
        <v/>
      </c>
    </row>
    <row r="12" ht="55" customHeight="1">
      <c r="A12" s="7" t="n"/>
      <c r="B12" s="7" t="n"/>
      <c r="C12" s="7" t="n"/>
      <c r="D12" s="9">
        <f>IF(COUNTA(A12:C12)=0,"",IF(OR(A12="",B12=""),"Completar ordem/título",IF(OR(NOT(ISNUMBER(A12)),A12&lt;1,MOD(A12,1)&lt;&gt;0),"Revisar ordem",IF(COUNTIF($A$5:$A$14,A12)&gt;1,"Ordem repetida",IF(LEN(C12)&gt;2000,"Texto acima do limite","Conferir na prévia")))))</f>
        <v/>
      </c>
    </row>
    <row r="13" ht="55" customHeight="1">
      <c r="A13" s="5" t="n"/>
      <c r="B13" s="5" t="n"/>
      <c r="C13" s="5" t="n"/>
      <c r="D13" s="9">
        <f>IF(COUNTA(A13:C13)=0,"",IF(OR(A13="",B13=""),"Completar ordem/título",IF(OR(NOT(ISNUMBER(A13)),A13&lt;1,MOD(A13,1)&lt;&gt;0),"Revisar ordem",IF(COUNTIF($A$5:$A$14,A13)&gt;1,"Ordem repetida",IF(LEN(C13)&gt;2000,"Texto acima do limite","Conferir na prévia")))))</f>
        <v/>
      </c>
    </row>
    <row r="14" ht="55" customHeight="1">
      <c r="A14" s="7" t="n"/>
      <c r="B14" s="7" t="n"/>
      <c r="C14" s="7" t="n"/>
      <c r="D14" s="9">
        <f>IF(COUNTA(A14:C14)=0,"",IF(OR(A14="",B14=""),"Completar ordem/título",IF(OR(NOT(ISNUMBER(A14)),A14&lt;1,MOD(A14,1)&lt;&gt;0),"Revisar ordem",IF(COUNTIF($A$5:$A$14,A14)&gt;1,"Ordem repetida",IF(LEN(C14)&gt;2000,"Texto acima do limite","Conferir na prévia")))))</f>
        <v/>
      </c>
    </row>
  </sheetData>
  <mergeCells count="2">
    <mergeCell ref="A1:D1"/>
    <mergeCell ref="A2:D2"/>
  </mergeCells>
  <dataValidations count="2">
    <dataValidation sqref="A5:A14" showDropDown="0" showInputMessage="0" showErrorMessage="1" allowBlank="1" error="Use um número inteiro positivo ou deixe vazio." type="whole" errorStyle="stop" operator="greaterThanOrEqual">
      <formula1>1</formula1>
    </dataValidation>
    <dataValidation sqref="C5:C14" showDropDown="0" showInputMessage="0" showErrorMessage="1" allowBlank="1" errorTitle="Texto acima do limite" error="Use no máximo 2000 caracteres. A prévia do sistema fará a validação final." type="textLength" errorStyle="stop" operator="lessThanOrEqual">
      <formula1>2000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&amp;C&amp;8 Ide Fazei | Modelo editorial v2 — proposta | &amp;P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Leia</t>
        </is>
      </c>
      <c r="C1" t="inlineStr">
        <is>
          <t>Planejada</t>
        </is>
      </c>
    </row>
    <row r="2">
      <c r="A2" t="inlineStr">
        <is>
          <t>B</t>
        </is>
      </c>
      <c r="B2" t="inlineStr">
        <is>
          <t>Entenda</t>
        </is>
      </c>
      <c r="C2" t="inlineStr">
        <is>
          <t>Realizada</t>
        </is>
      </c>
    </row>
    <row r="3">
      <c r="A3" t="inlineStr">
        <is>
          <t>C</t>
        </is>
      </c>
      <c r="B3" t="inlineStr">
        <is>
          <t>Responda</t>
        </is>
      </c>
      <c r="C3" t="inlineStr">
        <is>
          <t>Cancelada</t>
        </is>
      </c>
    </row>
    <row r="4">
      <c r="A4" t="inlineStr">
        <is>
          <t>D</t>
        </is>
      </c>
      <c r="B4" t="inlineStr">
        <is>
          <t>Aplique</t>
        </is>
      </c>
    </row>
    <row r="5">
      <c r="A5" t="inlineStr">
        <is>
          <t>E</t>
        </is>
      </c>
    </row>
    <row r="6">
      <c r="A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Ide Fazei</dc:creator>
  <dc:title xmlns:dc="http://purl.org/dc/elements/1.1/">Escola de Fundamentos — Modelo editorial v2 (proposta)</dc:title>
  <dc:description xmlns:dc="http://purl.org/dc/elements/1.1/">Modelo vazio. Três abas principais, orientações e duas abas opcionais. Sem publicação automática.</dc:description>
  <dc:subject xmlns:dc="http://purl.org/dc/elements/1.1/">Preenchimento de um estudo; requer adaptação do importador atual</dc:subject>
  <dcterms:created xmlns:dcterms="http://purl.org/dc/terms/" xmlns:xsi="http://www.w3.org/2001/XMLSchema-instance" xsi:type="dcterms:W3CDTF">2026-10-17T00:10:52Z</dcterms:created>
  <dcterms:modified xmlns:dcterms="http://purl.org/dc/terms/" xmlns:xsi="http://www.w3.org/2001/XMLSchema-instance" xsi:type="dcterms:W3CDTF">2026-10-17T00:10:52Z</dcterms:modified>
</cp:coreProperties>
</file>