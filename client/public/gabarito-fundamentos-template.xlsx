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ESTUDO" sheetId="3" state="visible" r:id="rId3"/>
    <sheet xmlns:r="http://schemas.openxmlformats.org/officeDocument/2006/relationships" name="BLOCOS" sheetId="4" state="visible" r:id="rId4"/>
    <sheet xmlns:r="http://schemas.openxmlformats.org/officeDocument/2006/relationships" name="PERGUNTAS" sheetId="5" state="visible" r:id="rId5"/>
    <sheet xmlns:r="http://schemas.openxmlformats.org/officeDocument/2006/relationships" name="AULA" sheetId="6" state="visible" r:id="rId6"/>
    <sheet xmlns:r="http://schemas.openxmlformats.org/officeDocument/2006/relationships" name="MATERIAIS" sheetId="7" state="visible" r:id="rId7"/>
  </sheets>
  <definedNames>
    <definedName name="_xlnm._FilterDatabase" localSheetId="2" hidden="1">'ESTUDO'!$A$1:$H$25</definedName>
    <definedName name="_xlnm._FilterDatabase" localSheetId="3" hidden="1">'BLOCOS'!$A$1:$E$25</definedName>
    <definedName name="_xlnm._FilterDatabase" localSheetId="4" hidden="1">'PERGUNTAS'!$A$1:$I$25</definedName>
    <definedName name="_xlnm._FilterDatabase" localSheetId="5" hidden="1">'AULA'!$A$1:$D$14</definedName>
    <definedName name="_xlnm._FilterDatabase" localSheetId="6" hidden="1">'MATERIAIS'!$A$1:$D$14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b val="1"/>
      <color rgb="001E3A5F"/>
      <sz val="11"/>
    </font>
    <font>
      <name val="Aptos"/>
      <b val="1"/>
      <color rgb="001E3A5F"/>
      <sz val="10"/>
    </font>
    <font>
      <name val="Aptos"/>
      <color rgb="00172B4D"/>
      <sz val="10"/>
    </font>
    <font>
      <name val="Aptos Display"/>
      <b val="1"/>
      <color rgb="00FFFFFF"/>
      <sz val="18"/>
    </font>
    <font>
      <name val="Aptos"/>
      <i val="1"/>
      <color rgb="00667085"/>
      <sz val="10"/>
    </font>
    <font>
      <name val="Aptos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DF9EE"/>
      </patternFill>
    </fill>
    <fill>
      <patternFill patternType="solid">
        <fgColor rgb="00F3F7FB"/>
      </patternFill>
    </fill>
  </fills>
  <borders count="3">
    <border>
      <left/>
      <right/>
      <top/>
      <bottom/>
      <diagonal/>
    </border>
    <border>
      <bottom style="thin">
        <color rgb="00D9E2EC"/>
      </bottom>
    </border>
    <border>
      <top style="medium">
        <color rgb="00C9A84C"/>
      </top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2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7" fillId="2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AF7EF"/>
        </patternFill>
      </fill>
    </dxf>
    <dxf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Ide Fazei</author>
  </authors>
  <commentList>
    <comment ref="A4" authorId="0" shapeId="0">
      <text>
        <t>Use o nome exatamente como aparece na aba de gestão. O importador poderá solicitar confirmação se houver nomes repetidos.</t>
      </text>
    </comment>
    <comment ref="C4" authorId="0" shapeId="0">
      <text>
        <t>Data civil da abertura da semana. Formato obrigatório: AAAA-MM-DD.</t>
      </text>
    </comment>
  </commentList>
</comments>
</file>

<file path=xl/comments/comment2.xml><?xml version="1.0" encoding="utf-8"?>
<comments xmlns="http://schemas.openxmlformats.org/spreadsheetml/2006/main">
  <authors>
    <author>Ide Fazei</author>
  </authors>
  <commentList>
    <comment ref="C4" authorId="0" shapeId="0">
      <text>
        <t>Texto que o discípulo lerá no smartphone. Evite colar uma apostila inteira em um único bloco.</t>
      </text>
    </comment>
  </commentList>
</comments>
</file>

<file path=xl/comments/comment3.xml><?xml version="1.0" encoding="utf-8"?>
<comments xmlns="http://schemas.openxmlformats.org/spreadsheetml/2006/main">
  <authors>
    <author>Ide Fazei</author>
  </authors>
  <commentList>
    <comment ref="B4" authorId="0" shapeId="0">
      <text>
        <t>O título precisa ser igual ao título informado na aba BLOCOS. Assim o importador sabe onde colocar a pergunta.</t>
      </text>
    </comment>
    <comment ref="G4" authorId="0" shapeId="0">
      <text>
        <t>A explicação aparece ao discípulo depois da resposta e também serve para a revisão do conteúdo.</t>
      </text>
    </comment>
  </commentList>
</comments>
</file>

<file path=xl/comments/comment4.xml><?xml version="1.0" encoding="utf-8"?>
<comments xmlns="http://schemas.openxmlformats.org/spreadsheetml/2006/main">
  <authors>
    <author>Ide Fazei</author>
  </authors>
  <commentList>
    <comment ref="A4" authorId="0" shapeId="0">
      <text>
        <t>A data deve ser um domingo. O sistema fará a validação final no momento da importação.</t>
      </text>
    </comment>
  </commentList>
</comments>
</file>

<file path=xl/tables/table1.xml><?xml version="1.0" encoding="utf-8"?>
<table xmlns="http://schemas.openxmlformats.org/spreadsheetml/2006/main" id="1" name="TabelaEstudo" displayName="TabelaEstudo" ref="A4:H25" headerRowCount="1">
  <autoFilter ref="A4:H25"/>
  <tableColumns count="8">
    <tableColumn id="1" name="Nome exato da turma"/>
    <tableColumn id="2" name="Título do estudo"/>
    <tableColumn id="3" name="Data de início da semana (AAAA-MM-DD)"/>
    <tableColumn id="4" name="Nome do módulo"/>
    <tableColumn id="5" name="Objetivo ou resumo"/>
    <tableColumn id="6" name="Introdução / roteiro geral"/>
    <tableColumn id="7" name="Publicar ao importar?"/>
    <tableColumn id="8" name="Valida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Blocos" displayName="TabelaBlocos" ref="A4:E25" headerRowCount="1">
  <autoFilter ref="A4:E25"/>
  <tableColumns count="5">
    <tableColumn id="1" name="Ordem"/>
    <tableColumn id="2" name="Título do bloco"/>
    <tableColumn id="3" name="Conteúdo da leitura"/>
    <tableColumn id="4" name="Publicar ao importar?"/>
    <tableColumn id="5" name="Validaç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aPerguntas" displayName="TabelaPerguntas" ref="A4:I25" headerRowCount="1">
  <autoFilter ref="A4:I25"/>
  <tableColumns count="9">
    <tableColumn id="1" name="Ordem do bloco"/>
    <tableColumn id="2" name="Título exato do bloco"/>
    <tableColumn id="3" name="Enunciado da pergunta"/>
    <tableColumn id="4" name="Alternativa A"/>
    <tableColumn id="5" name="Alternativa B"/>
    <tableColumn id="6" name="Resposta correta"/>
    <tableColumn id="7" name="Explicação do gabarito"/>
    <tableColumn id="8" name="Publicar ao importar?"/>
    <tableColumn id="9" name="Validaçã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aAula" displayName="TabelaAula" ref="A4:D14" headerRowCount="1">
  <autoFilter ref="A4:D14"/>
  <tableColumns count="4">
    <tableColumn id="1" name="Data do domingo (AAAA-MM-DD)"/>
    <tableColumn id="2" name="Status da aula"/>
    <tableColumn id="3" name="Observação para o professor"/>
    <tableColumn id="4" name="Validaçã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elaMateriais" displayName="TabelaMateriais" ref="A4:D14" headerRowCount="1">
  <autoFilter ref="A4:D14"/>
  <tableColumns count="4">
    <tableColumn id="1" name="Ordem"/>
    <tableColumn id="2" name="Título exato na Biblioteca Digital"/>
    <tableColumn id="3" name="Observação"/>
    <tableColumn id="4" name="Valid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tabColor rgb="00C9A84C"/>
    <outlinePr summaryBelow="1" summaryRight="1"/>
    <pageSetUpPr/>
  </sheetPr>
  <dimension ref="A1:B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5" customWidth="1" min="2" max="2"/>
  </cols>
  <sheetData>
    <row r="1" ht="34" customHeight="1">
      <c r="A1" s="1" t="inlineStr">
        <is>
          <t>Gabarito de estudo — Escola de Fundamentos</t>
        </is>
      </c>
    </row>
    <row r="2" ht="28" customHeight="1">
      <c r="A2" s="2" t="inlineStr">
        <is>
          <t>Preencha as abas na ordem: ESTUDO → BLOCOS → PERGUNTAS → AULA → MATERIAIS.</t>
        </is>
      </c>
    </row>
    <row r="3"/>
    <row r="4" ht="48" customHeight="1">
      <c r="A4" s="3" t="inlineStr">
        <is>
          <t>Como funciona</t>
        </is>
      </c>
      <c r="B4" s="4" t="inlineStr">
        <is>
          <t>Este arquivo é o gabarito editorial da semana. O mestre escreve o conteúdo uma vez; um futuro importador validará o arquivo e criará o estudo, os blocos, as perguntas, a aula e os materiais nos lugares corretos.</t>
        </is>
      </c>
    </row>
    <row r="5" ht="48" customHeight="1">
      <c r="A5" s="3" t="inlineStr">
        <is>
          <t>Importante hoje</t>
        </is>
      </c>
      <c r="B5" s="4" t="inlineStr">
        <is>
          <t>A aplicação atual ainda não possui um botão para importar Excel. Portanto, este arquivo já pode ser usado como padrão oficial de produção de conteúdo, mas a importação automática precisa ser desenvolvida na aba de gestão.</t>
        </is>
      </c>
    </row>
    <row r="6" ht="48" customHeight="1">
      <c r="A6" s="3" t="inlineStr">
        <is>
          <t>Regra de identificação</t>
        </is>
      </c>
      <c r="B6" s="4" t="inlineStr">
        <is>
          <t>Use o nome exato da turma em ESTUDO. O importador deverá localizar a turma por esse nome e mostrar uma prévia antes de gravar. Se houver duas turmas com o mesmo nome, a importação deverá parar para a liderança escolher a turma correta.</t>
        </is>
      </c>
    </row>
    <row r="7" ht="48" customHeight="1">
      <c r="A7" s="3" t="inlineStr">
        <is>
          <t>Estudo</t>
        </is>
      </c>
      <c r="B7" s="4" t="inlineStr">
        <is>
          <t>Uma linha representa uma semana. Preencha título, data de início da semana e, se desejar, módulo, objetivo e introdução geral. Para estudos novos, a data é obrigatória e deve ser AAAA-MM-DD.</t>
        </is>
      </c>
    </row>
    <row r="8" ht="48" customHeight="1">
      <c r="A8" s="3" t="inlineStr">
        <is>
          <t>Blocos</t>
        </is>
      </c>
      <c r="B8" s="4" t="inlineStr">
        <is>
          <t>Cada linha representa uma parte curta da leitura. Use uma ideia central por bloco. A ordem deve começar em 1. O discípulo avança bloco por bloco.</t>
        </is>
      </c>
    </row>
    <row r="9" ht="48" customHeight="1">
      <c r="A9" s="3" t="inlineStr">
        <is>
          <t>Perguntas</t>
        </is>
      </c>
      <c r="B9" s="4" t="inlineStr">
        <is>
          <t>Cada pergunta deve apontar para o título exato do bloco. Use duas alternativas no molde atual: A e B. A explicação deve ensinar, não apenas dizer que a resposta estava errada.</t>
        </is>
      </c>
    </row>
    <row r="10" ht="48" customHeight="1">
      <c r="A10" s="3" t="inlineStr">
        <is>
          <t>Aula</t>
        </is>
      </c>
      <c r="B10" s="4" t="inlineStr">
        <is>
          <t>A aula presencial fica separada do estudo digital. A data deve ser um domingo. O sistema validará a regra novamente no momento da importação.</t>
        </is>
      </c>
    </row>
    <row r="11" ht="48" customHeight="1">
      <c r="A11" s="3" t="inlineStr">
        <is>
          <t>Materiais</t>
        </is>
      </c>
      <c r="B11" s="4" t="inlineStr">
        <is>
          <t>Informe o título exato de materiais já existentes na Biblioteca Digital. O sistema deverá vincular o material, sem copiar ou duplicar o arquivo.</t>
        </is>
      </c>
    </row>
    <row r="12" ht="48" customHeight="1">
      <c r="A12" s="3" t="inlineStr">
        <is>
          <t>Publicação</t>
        </is>
      </c>
      <c r="B12" s="4" t="inlineStr">
        <is>
          <t>Use “Não” enquanto o conteúdo estiver em revisão. Use “Sim” somente depois de conferir textos, respostas, explicações e datas.</t>
        </is>
      </c>
    </row>
    <row r="13" ht="48" customHeight="1">
      <c r="A13" s="3" t="inlineStr">
        <is>
          <t>Padrão editorial recomendado</t>
        </is>
      </c>
      <c r="B13" s="4" t="inlineStr">
        <is>
          <t>Uma semana com 3 a 5 blocos, 1 ou 2 perguntas por bloco e leitura total aproximada de 10 a 15 minutos. O objetivo é facilitar a continuidade no smartphone.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</t>
        </is>
      </c>
      <c r="B1" t="inlineStr">
        <is>
          <t>Planejada</t>
        </is>
      </c>
      <c r="C1" t="inlineStr">
        <is>
          <t>A</t>
        </is>
      </c>
    </row>
    <row r="2">
      <c r="A2" t="inlineStr">
        <is>
          <t>Não</t>
        </is>
      </c>
      <c r="B2" t="inlineStr">
        <is>
          <t>Realizada</t>
        </is>
      </c>
      <c r="C2" t="inlineStr">
        <is>
          <t>B</t>
        </is>
      </c>
    </row>
    <row r="3">
      <c r="B3" t="inlineStr">
        <is>
          <t>Cancelada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84C"/>
    <outlinePr summaryBelow="1" summaryRight="1"/>
    <pageSetUpPr fitToPage="1"/>
  </sheetPr>
  <dimension ref="A1:H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5" customWidth="1" min="3" max="3"/>
    <col width="25" customWidth="1" min="4" max="4"/>
    <col width="42" customWidth="1" min="5" max="5"/>
    <col width="65" customWidth="1" min="6" max="6"/>
    <col width="20" customWidth="1" min="7" max="7"/>
    <col width="28" customWidth="1" min="8" max="8"/>
  </cols>
  <sheetData>
    <row r="1" ht="30" customHeight="1">
      <c r="A1" s="5" t="inlineStr">
        <is>
          <t>1. Estudo semanal</t>
        </is>
      </c>
    </row>
    <row r="2" ht="28" customHeight="1">
      <c r="A2" s="6" t="inlineStr">
        <is>
          <t>Uma linha por semana. Os campos obrigatórios são turma, título e data de início.</t>
        </is>
      </c>
    </row>
    <row r="3"/>
    <row r="4" ht="34" customHeight="1">
      <c r="A4" s="7" t="inlineStr">
        <is>
          <t>Nome exato da turma</t>
        </is>
      </c>
      <c r="B4" s="7" t="inlineStr">
        <is>
          <t>Título do estudo</t>
        </is>
      </c>
      <c r="C4" s="7" t="inlineStr">
        <is>
          <t>Data de início da semana (AAAA-MM-DD)</t>
        </is>
      </c>
      <c r="D4" s="7" t="inlineStr">
        <is>
          <t>Nome do módulo</t>
        </is>
      </c>
      <c r="E4" s="7" t="inlineStr">
        <is>
          <t>Objetivo ou resumo</t>
        </is>
      </c>
      <c r="F4" s="7" t="inlineStr">
        <is>
          <t>Introdução / roteiro geral</t>
        </is>
      </c>
      <c r="G4" s="7" t="inlineStr">
        <is>
          <t>Publicar ao importar?</t>
        </is>
      </c>
      <c r="H4" s="7" t="inlineStr">
        <is>
          <t>Validação</t>
        </is>
      </c>
    </row>
    <row r="5" ht="42" customHeight="1">
      <c r="A5" s="4" t="inlineStr"/>
      <c r="B5" s="4" t="inlineStr"/>
      <c r="C5" s="4" t="inlineStr"/>
      <c r="D5" s="4" t="inlineStr"/>
      <c r="E5" s="4" t="inlineStr"/>
      <c r="F5" s="4" t="inlineStr"/>
      <c r="G5" s="4" t="inlineStr">
        <is>
          <t>Não</t>
        </is>
      </c>
      <c r="H5" s="4">
        <f>IF(AND(A5&lt;&gt;"",B5&lt;&gt;"",C5&lt;&gt;""),"OK — pronto para validar","PREENCHER turma, título e data")</f>
        <v/>
      </c>
    </row>
    <row r="6" ht="42" customHeight="1">
      <c r="A6" s="4" t="n"/>
      <c r="B6" s="4" t="n"/>
      <c r="C6" s="4" t="n"/>
      <c r="D6" s="4" t="n"/>
      <c r="E6" s="4" t="n"/>
      <c r="F6" s="4" t="n"/>
      <c r="G6" s="4" t="n"/>
      <c r="H6" s="4" t="n"/>
    </row>
    <row r="7" ht="42" customHeight="1">
      <c r="A7" s="4" t="n"/>
      <c r="B7" s="4" t="n"/>
      <c r="C7" s="4" t="n"/>
      <c r="D7" s="4" t="n"/>
      <c r="E7" s="4" t="n"/>
      <c r="F7" s="4" t="n"/>
      <c r="G7" s="4" t="n"/>
      <c r="H7" s="4" t="n"/>
    </row>
    <row r="8" ht="42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 ht="42" customHeight="1">
      <c r="A9" s="4" t="n"/>
      <c r="B9" s="4" t="n"/>
      <c r="C9" s="4" t="n"/>
      <c r="D9" s="4" t="n"/>
      <c r="E9" s="4" t="n"/>
      <c r="F9" s="4" t="n"/>
      <c r="G9" s="4" t="n"/>
      <c r="H9" s="4" t="n"/>
    </row>
    <row r="10" ht="42" customHeight="1">
      <c r="A10" s="4" t="n"/>
      <c r="B10" s="4" t="n"/>
      <c r="C10" s="4" t="n"/>
      <c r="D10" s="4" t="n"/>
      <c r="E10" s="4" t="n"/>
      <c r="F10" s="4" t="n"/>
      <c r="G10" s="4" t="n"/>
      <c r="H10" s="4" t="n"/>
    </row>
    <row r="11" ht="42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 ht="42" customHeight="1">
      <c r="A12" s="4" t="n"/>
      <c r="B12" s="4" t="n"/>
      <c r="C12" s="4" t="n"/>
      <c r="D12" s="4" t="n"/>
      <c r="E12" s="4" t="n"/>
      <c r="F12" s="4" t="n"/>
      <c r="G12" s="4" t="n"/>
      <c r="H12" s="4" t="n"/>
    </row>
    <row r="13" ht="42" customHeight="1">
      <c r="A13" s="4" t="n"/>
      <c r="B13" s="4" t="n"/>
      <c r="C13" s="4" t="n"/>
      <c r="D13" s="4" t="n"/>
      <c r="E13" s="4" t="n"/>
      <c r="F13" s="4" t="n"/>
      <c r="G13" s="4" t="n"/>
      <c r="H13" s="4" t="n"/>
    </row>
    <row r="14" ht="42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 ht="42" customHeight="1">
      <c r="A15" s="4" t="n"/>
      <c r="B15" s="4" t="n"/>
      <c r="C15" s="4" t="n"/>
      <c r="D15" s="4" t="n"/>
      <c r="E15" s="4" t="n"/>
      <c r="F15" s="4" t="n"/>
      <c r="G15" s="4" t="n"/>
      <c r="H15" s="4" t="n"/>
    </row>
    <row r="16" ht="42" customHeight="1">
      <c r="A16" s="4" t="n"/>
      <c r="B16" s="4" t="n"/>
      <c r="C16" s="4" t="n"/>
      <c r="D16" s="4" t="n"/>
      <c r="E16" s="4" t="n"/>
      <c r="F16" s="4" t="n"/>
      <c r="G16" s="4" t="n"/>
      <c r="H16" s="4" t="n"/>
    </row>
    <row r="17" ht="42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 ht="42" customHeight="1">
      <c r="A18" s="4" t="n"/>
      <c r="B18" s="4" t="n"/>
      <c r="C18" s="4" t="n"/>
      <c r="D18" s="4" t="n"/>
      <c r="E18" s="4" t="n"/>
      <c r="F18" s="4" t="n"/>
      <c r="G18" s="4" t="n"/>
      <c r="H18" s="4" t="n"/>
    </row>
    <row r="19" ht="42" customHeight="1">
      <c r="A19" s="4" t="n"/>
      <c r="B19" s="4" t="n"/>
      <c r="C19" s="4" t="n"/>
      <c r="D19" s="4" t="n"/>
      <c r="E19" s="4" t="n"/>
      <c r="F19" s="4" t="n"/>
      <c r="G19" s="4" t="n"/>
      <c r="H19" s="4" t="n"/>
    </row>
    <row r="20" ht="42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 ht="42" customHeight="1">
      <c r="A21" s="4" t="n"/>
      <c r="B21" s="4" t="n"/>
      <c r="C21" s="4" t="n"/>
      <c r="D21" s="4" t="n"/>
      <c r="E21" s="4" t="n"/>
      <c r="F21" s="4" t="n"/>
      <c r="G21" s="4" t="n"/>
      <c r="H21" s="4" t="n"/>
    </row>
    <row r="22" ht="42" customHeight="1">
      <c r="A22" s="4" t="n"/>
      <c r="B22" s="4" t="n"/>
      <c r="C22" s="4" t="n"/>
      <c r="D22" s="4" t="n"/>
      <c r="E22" s="4" t="n"/>
      <c r="F22" s="4" t="n"/>
      <c r="G22" s="4" t="n"/>
      <c r="H22" s="4" t="n"/>
    </row>
    <row r="23" ht="42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 ht="42" customHeight="1">
      <c r="A24" s="4" t="n"/>
      <c r="B24" s="4" t="n"/>
      <c r="C24" s="4" t="n"/>
      <c r="D24" s="4" t="n"/>
      <c r="E24" s="4" t="n"/>
      <c r="F24" s="4" t="n"/>
      <c r="G24" s="4" t="n"/>
      <c r="H24" s="4" t="n"/>
    </row>
    <row r="25" ht="42" customHeight="1">
      <c r="A25" s="4" t="n"/>
      <c r="B25" s="4" t="n"/>
      <c r="C25" s="4" t="n"/>
      <c r="D25" s="4" t="n"/>
      <c r="E25" s="4" t="n"/>
      <c r="F25" s="4" t="n"/>
      <c r="G25" s="4" t="n"/>
      <c r="H25" s="4" t="n"/>
    </row>
  </sheetData>
  <autoFilter ref="A1:H25"/>
  <mergeCells count="2">
    <mergeCell ref="A2:H2"/>
    <mergeCell ref="A1:H1"/>
  </mergeCells>
  <conditionalFormatting sqref="H5:H25">
    <cfRule type="expression" priority="1" dxfId="0">
      <formula>LEFT(H5,2)="OK"</formula>
    </cfRule>
    <cfRule type="expression" priority="2" dxfId="1">
      <formula>LEFT(H5,3)="PREE"</formula>
    </cfRule>
  </conditionalFormatting>
  <dataValidations count="1">
    <dataValidation sqref="G5:G25" showDropDown="0" showInputMessage="1" showErrorMessage="1" allowBlank="1" errorTitle="Valor inválido" error="Use Sim ou Não." promptTitle="Preenchimento" prompt="Escolha Sim ou Não." type="list">
      <formula1>=LISTAS!$A$1:$A$2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C9A84C"/>
    <outlinePr summaryBelow="1" summaryRight="1"/>
    <pageSetUpPr fitToPage="1"/>
  </sheetPr>
  <dimension ref="A1:E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90" customWidth="1" min="3" max="3"/>
    <col width="20" customWidth="1" min="4" max="4"/>
    <col width="32" customWidth="1" min="5" max="5"/>
  </cols>
  <sheetData>
    <row r="1" ht="30" customHeight="1">
      <c r="A1" s="5" t="inlineStr">
        <is>
          <t>2. Blocos de leitura</t>
        </is>
      </c>
    </row>
    <row r="2" ht="28" customHeight="1">
      <c r="A2" s="6" t="inlineStr">
        <is>
          <t>Uma linha por bloco. Mantenha o texto curto, com uma ideia central por bloco.</t>
        </is>
      </c>
    </row>
    <row r="3"/>
    <row r="4" ht="34" customHeight="1">
      <c r="A4" s="7" t="inlineStr">
        <is>
          <t>Ordem</t>
        </is>
      </c>
      <c r="B4" s="7" t="inlineStr">
        <is>
          <t>Título do bloco</t>
        </is>
      </c>
      <c r="C4" s="7" t="inlineStr">
        <is>
          <t>Conteúdo da leitura</t>
        </is>
      </c>
      <c r="D4" s="7" t="inlineStr">
        <is>
          <t>Publicar ao importar?</t>
        </is>
      </c>
      <c r="E4" s="7" t="inlineStr">
        <is>
          <t>Validação</t>
        </is>
      </c>
    </row>
    <row r="5" ht="42" customHeight="1">
      <c r="A5" s="4" t="n">
        <v>1</v>
      </c>
      <c r="B5" s="4" t="inlineStr"/>
      <c r="C5" s="4" t="inlineStr"/>
      <c r="D5" s="4" t="inlineStr">
        <is>
          <t>Não</t>
        </is>
      </c>
      <c r="E5" s="4">
        <f>IF(AND(A5&lt;&gt;"",B5&lt;&gt;"",C5&lt;&gt;""),"OK — pronto para validar","PREENCHER ordem, título e conteúdo")</f>
        <v/>
      </c>
    </row>
    <row r="6" ht="42" customHeight="1">
      <c r="A6" s="4" t="n"/>
      <c r="B6" s="4" t="n"/>
      <c r="C6" s="4" t="n"/>
      <c r="D6" s="4" t="n"/>
      <c r="E6" s="4">
        <f>IF(AND(A6&lt;&gt;"",B6&lt;&gt;"",C6&lt;&gt;""),"OK — pronto para validar","PREENCHER ordem, título e conteúdo")</f>
        <v/>
      </c>
    </row>
    <row r="7" ht="42" customHeight="1">
      <c r="A7" s="4" t="n"/>
      <c r="B7" s="4" t="n"/>
      <c r="C7" s="4" t="n"/>
      <c r="D7" s="4" t="n"/>
      <c r="E7" s="4">
        <f>IF(AND(A7&lt;&gt;"",B7&lt;&gt;"",C7&lt;&gt;""),"OK — pronto para validar","PREENCHER ordem, título e conteúdo")</f>
        <v/>
      </c>
    </row>
    <row r="8" ht="42" customHeight="1">
      <c r="A8" s="4" t="n"/>
      <c r="B8" s="4" t="n"/>
      <c r="C8" s="4" t="n"/>
      <c r="D8" s="4" t="n"/>
      <c r="E8" s="4">
        <f>IF(AND(A8&lt;&gt;"",B8&lt;&gt;"",C8&lt;&gt;""),"OK — pronto para validar","PREENCHER ordem, título e conteúdo")</f>
        <v/>
      </c>
    </row>
    <row r="9" ht="42" customHeight="1">
      <c r="A9" s="4" t="n"/>
      <c r="B9" s="4" t="n"/>
      <c r="C9" s="4" t="n"/>
      <c r="D9" s="4" t="n"/>
      <c r="E9" s="4">
        <f>IF(AND(A9&lt;&gt;"",B9&lt;&gt;"",C9&lt;&gt;""),"OK — pronto para validar","PREENCHER ordem, título e conteúdo")</f>
        <v/>
      </c>
    </row>
    <row r="10" ht="42" customHeight="1">
      <c r="A10" s="4" t="n"/>
      <c r="B10" s="4" t="n"/>
      <c r="C10" s="4" t="n"/>
      <c r="D10" s="4" t="n"/>
      <c r="E10" s="4">
        <f>IF(AND(A10&lt;&gt;"",B10&lt;&gt;"",C10&lt;&gt;""),"OK — pronto para validar","PREENCHER ordem, título e conteúdo")</f>
        <v/>
      </c>
    </row>
    <row r="11" ht="42" customHeight="1">
      <c r="A11" s="4" t="n"/>
      <c r="B11" s="4" t="n"/>
      <c r="C11" s="4" t="n"/>
      <c r="D11" s="4" t="n"/>
      <c r="E11" s="4">
        <f>IF(AND(A11&lt;&gt;"",B11&lt;&gt;"",C11&lt;&gt;""),"OK — pronto para validar","PREENCHER ordem, título e conteúdo")</f>
        <v/>
      </c>
    </row>
    <row r="12" ht="42" customHeight="1">
      <c r="A12" s="4" t="n"/>
      <c r="B12" s="4" t="n"/>
      <c r="C12" s="4" t="n"/>
      <c r="D12" s="4" t="n"/>
      <c r="E12" s="4">
        <f>IF(AND(A12&lt;&gt;"",B12&lt;&gt;"",C12&lt;&gt;""),"OK — pronto para validar","PREENCHER ordem, título e conteúdo")</f>
        <v/>
      </c>
    </row>
    <row r="13" ht="42" customHeight="1">
      <c r="A13" s="4" t="n"/>
      <c r="B13" s="4" t="n"/>
      <c r="C13" s="4" t="n"/>
      <c r="D13" s="4" t="n"/>
      <c r="E13" s="4">
        <f>IF(AND(A13&lt;&gt;"",B13&lt;&gt;"",C13&lt;&gt;""),"OK — pronto para validar","PREENCHER ordem, título e conteúdo")</f>
        <v/>
      </c>
    </row>
    <row r="14" ht="42" customHeight="1">
      <c r="A14" s="4" t="n"/>
      <c r="B14" s="4" t="n"/>
      <c r="C14" s="4" t="n"/>
      <c r="D14" s="4" t="n"/>
      <c r="E14" s="4">
        <f>IF(AND(A14&lt;&gt;"",B14&lt;&gt;"",C14&lt;&gt;""),"OK — pronto para validar","PREENCHER ordem, título e conteúdo")</f>
        <v/>
      </c>
    </row>
    <row r="15" ht="42" customHeight="1">
      <c r="A15" s="4" t="n"/>
      <c r="B15" s="4" t="n"/>
      <c r="C15" s="4" t="n"/>
      <c r="D15" s="4" t="n"/>
      <c r="E15" s="4">
        <f>IF(AND(A15&lt;&gt;"",B15&lt;&gt;"",C15&lt;&gt;""),"OK — pronto para validar","PREENCHER ordem, título e conteúdo")</f>
        <v/>
      </c>
    </row>
    <row r="16" ht="42" customHeight="1">
      <c r="A16" s="4" t="n"/>
      <c r="B16" s="4" t="n"/>
      <c r="C16" s="4" t="n"/>
      <c r="D16" s="4" t="n"/>
      <c r="E16" s="4">
        <f>IF(AND(A16&lt;&gt;"",B16&lt;&gt;"",C16&lt;&gt;""),"OK — pronto para validar","PREENCHER ordem, título e conteúdo")</f>
        <v/>
      </c>
    </row>
    <row r="17" ht="42" customHeight="1">
      <c r="A17" s="4" t="n"/>
      <c r="B17" s="4" t="n"/>
      <c r="C17" s="4" t="n"/>
      <c r="D17" s="4" t="n"/>
      <c r="E17" s="4">
        <f>IF(AND(A17&lt;&gt;"",B17&lt;&gt;"",C17&lt;&gt;""),"OK — pronto para validar","PREENCHER ordem, título e conteúdo")</f>
        <v/>
      </c>
    </row>
    <row r="18" ht="42" customHeight="1">
      <c r="A18" s="4" t="n"/>
      <c r="B18" s="4" t="n"/>
      <c r="C18" s="4" t="n"/>
      <c r="D18" s="4" t="n"/>
      <c r="E18" s="4">
        <f>IF(AND(A18&lt;&gt;"",B18&lt;&gt;"",C18&lt;&gt;""),"OK — pronto para validar","PREENCHER ordem, título e conteúdo")</f>
        <v/>
      </c>
    </row>
    <row r="19" ht="42" customHeight="1">
      <c r="A19" s="4" t="n"/>
      <c r="B19" s="4" t="n"/>
      <c r="C19" s="4" t="n"/>
      <c r="D19" s="4" t="n"/>
      <c r="E19" s="4">
        <f>IF(AND(A19&lt;&gt;"",B19&lt;&gt;"",C19&lt;&gt;""),"OK — pronto para validar","PREENCHER ordem, título e conteúdo")</f>
        <v/>
      </c>
    </row>
    <row r="20" ht="42" customHeight="1">
      <c r="A20" s="4" t="n"/>
      <c r="B20" s="4" t="n"/>
      <c r="C20" s="4" t="n"/>
      <c r="D20" s="4" t="n"/>
      <c r="E20" s="4">
        <f>IF(AND(A20&lt;&gt;"",B20&lt;&gt;"",C20&lt;&gt;""),"OK — pronto para validar","PREENCHER ordem, título e conteúdo")</f>
        <v/>
      </c>
    </row>
    <row r="21" ht="42" customHeight="1">
      <c r="A21" s="4" t="n"/>
      <c r="B21" s="4" t="n"/>
      <c r="C21" s="4" t="n"/>
      <c r="D21" s="4" t="n"/>
      <c r="E21" s="4">
        <f>IF(AND(A21&lt;&gt;"",B21&lt;&gt;"",C21&lt;&gt;""),"OK — pronto para validar","PREENCHER ordem, título e conteúdo")</f>
        <v/>
      </c>
    </row>
    <row r="22" ht="42" customHeight="1">
      <c r="A22" s="4" t="n"/>
      <c r="B22" s="4" t="n"/>
      <c r="C22" s="4" t="n"/>
      <c r="D22" s="4" t="n"/>
      <c r="E22" s="4">
        <f>IF(AND(A22&lt;&gt;"",B22&lt;&gt;"",C22&lt;&gt;""),"OK — pronto para validar","PREENCHER ordem, título e conteúdo")</f>
        <v/>
      </c>
    </row>
    <row r="23" ht="42" customHeight="1">
      <c r="A23" s="4" t="n"/>
      <c r="B23" s="4" t="n"/>
      <c r="C23" s="4" t="n"/>
      <c r="D23" s="4" t="n"/>
      <c r="E23" s="4">
        <f>IF(AND(A23&lt;&gt;"",B23&lt;&gt;"",C23&lt;&gt;""),"OK — pronto para validar","PREENCHER ordem, título e conteúdo")</f>
        <v/>
      </c>
    </row>
    <row r="24" ht="42" customHeight="1">
      <c r="A24" s="4" t="n"/>
      <c r="B24" s="4" t="n"/>
      <c r="C24" s="4" t="n"/>
      <c r="D24" s="4" t="n"/>
      <c r="E24" s="4">
        <f>IF(AND(A24&lt;&gt;"",B24&lt;&gt;"",C24&lt;&gt;""),"OK — pronto para validar","PREENCHER ordem, título e conteúdo")</f>
        <v/>
      </c>
    </row>
    <row r="25" ht="42" customHeight="1">
      <c r="A25" s="4" t="n"/>
      <c r="B25" s="4" t="n"/>
      <c r="C25" s="4" t="n"/>
      <c r="D25" s="4" t="n"/>
      <c r="E25" s="4" t="n"/>
    </row>
  </sheetData>
  <autoFilter ref="A1:E25"/>
  <mergeCells count="2">
    <mergeCell ref="A2:E2"/>
    <mergeCell ref="A1:E1"/>
  </mergeCells>
  <conditionalFormatting sqref="E5:E25">
    <cfRule type="expression" priority="1" dxfId="0">
      <formula>LEFT(E5,2)="OK"</formula>
    </cfRule>
    <cfRule type="expression" priority="2" dxfId="1">
      <formula>LEFT(E5,3)="PREE"</formula>
    </cfRule>
  </conditionalFormatting>
  <dataValidations count="1">
    <dataValidation sqref="D5:D25" showDropDown="0" showInputMessage="1" showErrorMessage="1" allowBlank="1" errorTitle="Valor inválido" error="Use Sim ou Não." promptTitle="Preenchimento" prompt="Escolha Sim ou Não." type="list">
      <formula1>=LISTAS!$A$1:$A$2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C9A84C"/>
    <outlinePr summaryBelow="1" summaryRight="1"/>
    <pageSetUpPr fitToPage="1"/>
  </sheetPr>
  <dimension ref="A1:I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52" customWidth="1" min="3" max="3"/>
    <col width="38" customWidth="1" min="4" max="4"/>
    <col width="38" customWidth="1" min="5" max="5"/>
    <col width="18" customWidth="1" min="6" max="6"/>
    <col width="62" customWidth="1" min="7" max="7"/>
    <col width="20" customWidth="1" min="8" max="8"/>
    <col width="32" customWidth="1" min="9" max="9"/>
  </cols>
  <sheetData>
    <row r="1" ht="30" customHeight="1">
      <c r="A1" s="5" t="inlineStr">
        <is>
          <t>3. Perguntas</t>
        </is>
      </c>
    </row>
    <row r="2" ht="28" customHeight="1">
      <c r="A2" s="6" t="inlineStr">
        <is>
          <t>Uma linha por pergunta. No molde atual, use duas alternativas: A e B.</t>
        </is>
      </c>
    </row>
    <row r="3"/>
    <row r="4" ht="34" customHeight="1">
      <c r="A4" s="7" t="inlineStr">
        <is>
          <t>Ordem do bloco</t>
        </is>
      </c>
      <c r="B4" s="7" t="inlineStr">
        <is>
          <t>Título exato do bloco</t>
        </is>
      </c>
      <c r="C4" s="7" t="inlineStr">
        <is>
          <t>Enunciado da pergunta</t>
        </is>
      </c>
      <c r="D4" s="7" t="inlineStr">
        <is>
          <t>Alternativa A</t>
        </is>
      </c>
      <c r="E4" s="7" t="inlineStr">
        <is>
          <t>Alternativa B</t>
        </is>
      </c>
      <c r="F4" s="7" t="inlineStr">
        <is>
          <t>Resposta correta</t>
        </is>
      </c>
      <c r="G4" s="7" t="inlineStr">
        <is>
          <t>Explicação do gabarito</t>
        </is>
      </c>
      <c r="H4" s="7" t="inlineStr">
        <is>
          <t>Publicar ao importar?</t>
        </is>
      </c>
      <c r="I4" s="7" t="inlineStr">
        <is>
          <t>Validação</t>
        </is>
      </c>
    </row>
    <row r="5" ht="42" customHeight="1">
      <c r="A5" s="4" t="n">
        <v>1</v>
      </c>
      <c r="B5" s="4" t="inlineStr"/>
      <c r="C5" s="4" t="inlineStr"/>
      <c r="D5" s="4" t="inlineStr"/>
      <c r="E5" s="4" t="inlineStr"/>
      <c r="F5" s="4" t="inlineStr">
        <is>
          <t>A</t>
        </is>
      </c>
      <c r="G5" s="4" t="inlineStr"/>
      <c r="H5" s="4" t="inlineStr">
        <is>
          <t>Não</t>
        </is>
      </c>
      <c r="I5" s="4">
        <f>IF(AND(A5&lt;&gt;"",B5&lt;&gt;"",C5&lt;&gt;"",D5&lt;&gt;"",E5&lt;&gt;"",OR(F5="A",F5="B"),G5&lt;&gt;""),"OK — pronto para validar","PREENCHER bloco, pergunta, A, B, resposta e explicação")</f>
        <v/>
      </c>
    </row>
    <row r="6" ht="42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>
        <f>IF(AND(A6&lt;&gt;"",B6&lt;&gt;"",C6&lt;&gt;"",D6&lt;&gt;"",E6&lt;&gt;"",OR(F6="A",F6="B"),G6&lt;&gt;""),"OK — pronto para validar","PREENCHER bloco, pergunta, A, B, resposta e explicação")</f>
        <v/>
      </c>
    </row>
    <row r="7" ht="42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>
        <f>IF(AND(A7&lt;&gt;"",B7&lt;&gt;"",C7&lt;&gt;"",D7&lt;&gt;"",E7&lt;&gt;"",OR(F7="A",F7="B"),G7&lt;&gt;""),"OK — pronto para validar","PREENCHER bloco, pergunta, A, B, resposta e explicação")</f>
        <v/>
      </c>
    </row>
    <row r="8" ht="42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>
        <f>IF(AND(A8&lt;&gt;"",B8&lt;&gt;"",C8&lt;&gt;"",D8&lt;&gt;"",E8&lt;&gt;"",OR(F8="A",F8="B"),G8&lt;&gt;""),"OK — pronto para validar","PREENCHER bloco, pergunta, A, B, resposta e explicação")</f>
        <v/>
      </c>
    </row>
    <row r="9" ht="42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>
        <f>IF(AND(A9&lt;&gt;"",B9&lt;&gt;"",C9&lt;&gt;"",D9&lt;&gt;"",E9&lt;&gt;"",OR(F9="A",F9="B"),G9&lt;&gt;""),"OK — pronto para validar","PREENCHER bloco, pergunta, A, B, resposta e explicação")</f>
        <v/>
      </c>
    </row>
    <row r="10" ht="42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>
        <f>IF(AND(A10&lt;&gt;"",B10&lt;&gt;"",C10&lt;&gt;"",D10&lt;&gt;"",E10&lt;&gt;"",OR(F10="A",F10="B"),G10&lt;&gt;""),"OK — pronto para validar","PREENCHER bloco, pergunta, A, B, resposta e explicação")</f>
        <v/>
      </c>
    </row>
    <row r="11" ht="42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>
        <f>IF(AND(A11&lt;&gt;"",B11&lt;&gt;"",C11&lt;&gt;"",D11&lt;&gt;"",E11&lt;&gt;"",OR(F11="A",F11="B"),G11&lt;&gt;""),"OK — pronto para validar","PREENCHER bloco, pergunta, A, B, resposta e explicação")</f>
        <v/>
      </c>
    </row>
    <row r="12" ht="42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>
        <f>IF(AND(A12&lt;&gt;"",B12&lt;&gt;"",C12&lt;&gt;"",D12&lt;&gt;"",E12&lt;&gt;"",OR(F12="A",F12="B"),G12&lt;&gt;""),"OK — pronto para validar","PREENCHER bloco, pergunta, A, B, resposta e explicação")</f>
        <v/>
      </c>
    </row>
    <row r="13" ht="42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>
        <f>IF(AND(A13&lt;&gt;"",B13&lt;&gt;"",C13&lt;&gt;"",D13&lt;&gt;"",E13&lt;&gt;"",OR(F13="A",F13="B"),G13&lt;&gt;""),"OK — pronto para validar","PREENCHER bloco, pergunta, A, B, resposta e explicação")</f>
        <v/>
      </c>
    </row>
    <row r="14" ht="42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>
        <f>IF(AND(A14&lt;&gt;"",B14&lt;&gt;"",C14&lt;&gt;"",D14&lt;&gt;"",E14&lt;&gt;"",OR(F14="A",F14="B"),G14&lt;&gt;""),"OK — pronto para validar","PREENCHER bloco, pergunta, A, B, resposta e explicação")</f>
        <v/>
      </c>
    </row>
    <row r="15" ht="42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>
        <f>IF(AND(A15&lt;&gt;"",B15&lt;&gt;"",C15&lt;&gt;"",D15&lt;&gt;"",E15&lt;&gt;"",OR(F15="A",F15="B"),G15&lt;&gt;""),"OK — pronto para validar","PREENCHER bloco, pergunta, A, B, resposta e explicação")</f>
        <v/>
      </c>
    </row>
    <row r="16" ht="42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>
        <f>IF(AND(A16&lt;&gt;"",B16&lt;&gt;"",C16&lt;&gt;"",D16&lt;&gt;"",E16&lt;&gt;"",OR(F16="A",F16="B"),G16&lt;&gt;""),"OK — pronto para validar","PREENCHER bloco, pergunta, A, B, resposta e explicação")</f>
        <v/>
      </c>
    </row>
    <row r="17" ht="42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>
        <f>IF(AND(A17&lt;&gt;"",B17&lt;&gt;"",C17&lt;&gt;"",D17&lt;&gt;"",E17&lt;&gt;"",OR(F17="A",F17="B"),G17&lt;&gt;""),"OK — pronto para validar","PREENCHER bloco, pergunta, A, B, resposta e explicação")</f>
        <v/>
      </c>
    </row>
    <row r="18" ht="4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>
        <f>IF(AND(A18&lt;&gt;"",B18&lt;&gt;"",C18&lt;&gt;"",D18&lt;&gt;"",E18&lt;&gt;"",OR(F18="A",F18="B"),G18&lt;&gt;""),"OK — pronto para validar","PREENCHER bloco, pergunta, A, B, resposta e explicação")</f>
        <v/>
      </c>
    </row>
    <row r="19" ht="4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>
        <f>IF(AND(A19&lt;&gt;"",B19&lt;&gt;"",C19&lt;&gt;"",D19&lt;&gt;"",E19&lt;&gt;"",OR(F19="A",F19="B"),G19&lt;&gt;""),"OK — pronto para validar","PREENCHER bloco, pergunta, A, B, resposta e explicação")</f>
        <v/>
      </c>
    </row>
    <row r="20" ht="42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>
        <f>IF(AND(A20&lt;&gt;"",B20&lt;&gt;"",C20&lt;&gt;"",D20&lt;&gt;"",E20&lt;&gt;"",OR(F20="A",F20="B"),G20&lt;&gt;""),"OK — pronto para validar","PREENCHER bloco, pergunta, A, B, resposta e explicação")</f>
        <v/>
      </c>
    </row>
    <row r="21" ht="4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>
        <f>IF(AND(A21&lt;&gt;"",B21&lt;&gt;"",C21&lt;&gt;"",D21&lt;&gt;"",E21&lt;&gt;"",OR(F21="A",F21="B"),G21&lt;&gt;""),"OK — pronto para validar","PREENCHER bloco, pergunta, A, B, resposta e explicação")</f>
        <v/>
      </c>
    </row>
    <row r="22" ht="42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>
        <f>IF(AND(A22&lt;&gt;"",B22&lt;&gt;"",C22&lt;&gt;"",D22&lt;&gt;"",E22&lt;&gt;"",OR(F22="A",F22="B"),G22&lt;&gt;""),"OK — pronto para validar","PREENCHER bloco, pergunta, A, B, resposta e explicação")</f>
        <v/>
      </c>
    </row>
    <row r="23" ht="4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>
        <f>IF(AND(A23&lt;&gt;"",B23&lt;&gt;"",C23&lt;&gt;"",D23&lt;&gt;"",E23&lt;&gt;"",OR(F23="A",F23="B"),G23&lt;&gt;""),"OK — pronto para validar","PREENCHER bloco, pergunta, A, B, resposta e explicação")</f>
        <v/>
      </c>
    </row>
    <row r="24" ht="42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>
        <f>IF(AND(A24&lt;&gt;"",B24&lt;&gt;"",C24&lt;&gt;"",D24&lt;&gt;"",E24&lt;&gt;"",OR(F24="A",F24="B"),G24&lt;&gt;""),"OK — pronto para validar","PREENCHER bloco, pergunta, A, B, resposta e explicação")</f>
        <v/>
      </c>
    </row>
    <row r="25" ht="42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</sheetData>
  <autoFilter ref="A1:I25"/>
  <mergeCells count="2">
    <mergeCell ref="A1:I1"/>
    <mergeCell ref="A2:I2"/>
  </mergeCells>
  <conditionalFormatting sqref="I5:I25">
    <cfRule type="expression" priority="1" dxfId="0">
      <formula>LEFT(I5,2)="OK"</formula>
    </cfRule>
    <cfRule type="expression" priority="2" dxfId="1">
      <formula>LEFT(I5,3)="PREE"</formula>
    </cfRule>
  </conditionalFormatting>
  <dataValidations count="2">
    <dataValidation sqref="F5:F25" showDropDown="0" showInputMessage="1" showErrorMessage="1" allowBlank="1" errorTitle="Valor inválido" error="A resposta correta precisa ser A ou B." promptTitle="Preenchimento" prompt="Escolha A ou B." type="list">
      <formula1>=LISTAS!$C$1:$C$2</formula1>
    </dataValidation>
    <dataValidation sqref="H5:H25" showDropDown="0" showInputMessage="1" showErrorMessage="1" allowBlank="1" errorTitle="Valor inválido" error="Use Sim ou Não." promptTitle="Preenchimento" prompt="Escolha Sim ou Não." type="list">
      <formula1>=LISTAS!$A$1:$A$2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C9A84C"/>
    <outlinePr summaryBelow="1" summaryRight="1"/>
    <pageSetUpPr fitToPage="1"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85" customWidth="1" min="3" max="3"/>
    <col width="32" customWidth="1" min="4" max="4"/>
  </cols>
  <sheetData>
    <row r="1" ht="30" customHeight="1">
      <c r="A1" s="5" t="inlineStr">
        <is>
          <t>4. Aula presencial</t>
        </is>
      </c>
    </row>
    <row r="2" ht="28" customHeight="1">
      <c r="A2" s="6" t="inlineStr">
        <is>
          <t>A aula de domingo é ligada ao estudo, mas permanece separada da preparação digital.</t>
        </is>
      </c>
    </row>
    <row r="3"/>
    <row r="4" ht="34" customHeight="1">
      <c r="A4" s="7" t="inlineStr">
        <is>
          <t>Data do domingo (AAAA-MM-DD)</t>
        </is>
      </c>
      <c r="B4" s="7" t="inlineStr">
        <is>
          <t>Status da aula</t>
        </is>
      </c>
      <c r="C4" s="7" t="inlineStr">
        <is>
          <t>Observação para o professor</t>
        </is>
      </c>
      <c r="D4" s="7" t="inlineStr">
        <is>
          <t>Validação</t>
        </is>
      </c>
    </row>
    <row r="5" ht="42" customHeight="1">
      <c r="A5" s="4" t="inlineStr"/>
      <c r="B5" s="4" t="inlineStr">
        <is>
          <t>Planejada</t>
        </is>
      </c>
      <c r="C5" s="4" t="inlineStr"/>
      <c r="D5" s="4">
        <f>IF(AND(A5&lt;&gt;"",B5&lt;&gt;""),"OK — pronto para validar","PREENCHER data e status")</f>
        <v/>
      </c>
    </row>
    <row r="6" ht="42" customHeight="1">
      <c r="A6" s="4" t="n"/>
      <c r="B6" s="4" t="n"/>
      <c r="C6" s="4" t="n"/>
      <c r="D6" s="4">
        <f>IF(AND(A6&lt;&gt;"",B6&lt;&gt;""),"OK — pronto para validar","PREENCHER data e status")</f>
        <v/>
      </c>
    </row>
    <row r="7" ht="42" customHeight="1">
      <c r="A7" s="4" t="n"/>
      <c r="B7" s="4" t="n"/>
      <c r="C7" s="4" t="n"/>
      <c r="D7" s="4">
        <f>IF(AND(A7&lt;&gt;"",B7&lt;&gt;""),"OK — pronto para validar","PREENCHER data e status")</f>
        <v/>
      </c>
    </row>
    <row r="8" ht="42" customHeight="1">
      <c r="A8" s="4" t="n"/>
      <c r="B8" s="4" t="n"/>
      <c r="C8" s="4" t="n"/>
      <c r="D8" s="4">
        <f>IF(AND(A8&lt;&gt;"",B8&lt;&gt;""),"OK — pronto para validar","PREENCHER data e status")</f>
        <v/>
      </c>
    </row>
    <row r="9" ht="42" customHeight="1">
      <c r="A9" s="4" t="n"/>
      <c r="B9" s="4" t="n"/>
      <c r="C9" s="4" t="n"/>
      <c r="D9" s="4">
        <f>IF(AND(A9&lt;&gt;"",B9&lt;&gt;""),"OK — pronto para validar","PREENCHER data e status")</f>
        <v/>
      </c>
    </row>
    <row r="10" ht="42" customHeight="1">
      <c r="A10" s="4" t="n"/>
      <c r="B10" s="4" t="n"/>
      <c r="C10" s="4" t="n"/>
      <c r="D10" s="4">
        <f>IF(AND(A10&lt;&gt;"",B10&lt;&gt;""),"OK — pronto para validar","PREENCHER data e status")</f>
        <v/>
      </c>
    </row>
    <row r="11" ht="42" customHeight="1">
      <c r="A11" s="4" t="n"/>
      <c r="B11" s="4" t="n"/>
      <c r="C11" s="4" t="n"/>
      <c r="D11" s="4">
        <f>IF(AND(A11&lt;&gt;"",B11&lt;&gt;""),"OK — pronto para validar","PREENCHER data e status")</f>
        <v/>
      </c>
    </row>
    <row r="12" ht="42" customHeight="1">
      <c r="A12" s="4" t="n"/>
      <c r="B12" s="4" t="n"/>
      <c r="C12" s="4" t="n"/>
      <c r="D12" s="4">
        <f>IF(AND(A12&lt;&gt;"",B12&lt;&gt;""),"OK — pronto para validar","PREENCHER data e status")</f>
        <v/>
      </c>
    </row>
    <row r="13" ht="42" customHeight="1">
      <c r="A13" s="4" t="n"/>
      <c r="B13" s="4" t="n"/>
      <c r="C13" s="4" t="n"/>
      <c r="D13" s="4">
        <f>IF(AND(A13&lt;&gt;"",B13&lt;&gt;""),"OK — pronto para validar","PREENCHER data e status")</f>
        <v/>
      </c>
    </row>
    <row r="14" ht="42" customHeight="1">
      <c r="A14" s="4" t="n"/>
      <c r="B14" s="4" t="n"/>
      <c r="C14" s="4" t="n"/>
      <c r="D14" s="4">
        <f>IF(AND(A14&lt;&gt;"",B14&lt;&gt;""),"OK — pronto para validar","PREENCHER data e status")</f>
        <v/>
      </c>
    </row>
  </sheetData>
  <autoFilter ref="A1:D14"/>
  <mergeCells count="2">
    <mergeCell ref="A1:D1"/>
    <mergeCell ref="A2:D2"/>
  </mergeCells>
  <conditionalFormatting sqref="D5:D14">
    <cfRule type="expression" priority="1" dxfId="0">
      <formula>LEFT(D5,2)="OK"</formula>
    </cfRule>
    <cfRule type="expression" priority="2" dxfId="1">
      <formula>LEFT(D5,3)="PREE"</formula>
    </cfRule>
  </conditionalFormatting>
  <dataValidations count="1">
    <dataValidation sqref="B5:B14" showDropDown="0" showInputMessage="1" showErrorMessage="1" allowBlank="1" errorTitle="Valor inválido" error="Use Planejada, Realizada ou Cancelada." promptTitle="Preenchimento" prompt="Escolha o status da aula." type="list">
      <formula1>=LISTAS!$B$1:$B$3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C9A84C"/>
    <outlinePr summaryBelow="1" summaryRight="1"/>
    <pageSetUpPr fitToPage="1"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65" customWidth="1" min="3" max="3"/>
    <col width="32" customWidth="1" min="4" max="4"/>
  </cols>
  <sheetData>
    <row r="1" ht="30" customHeight="1">
      <c r="A1" s="5" t="inlineStr">
        <is>
          <t>5. Materiais complementares</t>
        </is>
      </c>
    </row>
    <row r="2" ht="28" customHeight="1">
      <c r="A2" s="6" t="inlineStr">
        <is>
          <t>Opcional. Informe materiais que já existem na Biblioteca Digital; não envie arquivos por esta planilha.</t>
        </is>
      </c>
    </row>
    <row r="3"/>
    <row r="4" ht="34" customHeight="1">
      <c r="A4" s="7" t="inlineStr">
        <is>
          <t>Ordem</t>
        </is>
      </c>
      <c r="B4" s="7" t="inlineStr">
        <is>
          <t>Título exato na Biblioteca Digital</t>
        </is>
      </c>
      <c r="C4" s="7" t="inlineStr">
        <is>
          <t>Observação</t>
        </is>
      </c>
      <c r="D4" s="7" t="inlineStr">
        <is>
          <t>Validação</t>
        </is>
      </c>
    </row>
    <row r="5" ht="42" customHeight="1">
      <c r="A5" s="4" t="n">
        <v>1</v>
      </c>
      <c r="B5" s="4" t="inlineStr"/>
      <c r="C5" s="4" t="inlineStr"/>
      <c r="D5" s="4">
        <f>IF(B5&lt;&gt;"","OK — pronto para validar","PREENCHER título ou deixar a linha vazia")</f>
        <v/>
      </c>
    </row>
    <row r="6" ht="42" customHeight="1">
      <c r="A6" s="4" t="n"/>
      <c r="B6" s="4" t="n"/>
      <c r="C6" s="4" t="n"/>
      <c r="D6" s="4">
        <f>IF(B6&lt;&gt;"","OK — pronto para validar","PREENCHER título ou deixar a linha vazia")</f>
        <v/>
      </c>
    </row>
    <row r="7" ht="42" customHeight="1">
      <c r="A7" s="4" t="n"/>
      <c r="B7" s="4" t="n"/>
      <c r="C7" s="4" t="n"/>
      <c r="D7" s="4">
        <f>IF(B7&lt;&gt;"","OK — pronto para validar","PREENCHER título ou deixar a linha vazia")</f>
        <v/>
      </c>
    </row>
    <row r="8" ht="42" customHeight="1">
      <c r="A8" s="4" t="n"/>
      <c r="B8" s="4" t="n"/>
      <c r="C8" s="4" t="n"/>
      <c r="D8" s="4">
        <f>IF(B8&lt;&gt;"","OK — pronto para validar","PREENCHER título ou deixar a linha vazia")</f>
        <v/>
      </c>
    </row>
    <row r="9" ht="42" customHeight="1">
      <c r="A9" s="4" t="n"/>
      <c r="B9" s="4" t="n"/>
      <c r="C9" s="4" t="n"/>
      <c r="D9" s="4">
        <f>IF(B9&lt;&gt;"","OK — pronto para validar","PREENCHER título ou deixar a linha vazia")</f>
        <v/>
      </c>
    </row>
    <row r="10" ht="42" customHeight="1">
      <c r="A10" s="4" t="n"/>
      <c r="B10" s="4" t="n"/>
      <c r="C10" s="4" t="n"/>
      <c r="D10" s="4">
        <f>IF(B10&lt;&gt;"","OK — pronto para validar","PREENCHER título ou deixar a linha vazia")</f>
        <v/>
      </c>
    </row>
    <row r="11" ht="42" customHeight="1">
      <c r="A11" s="4" t="n"/>
      <c r="B11" s="4" t="n"/>
      <c r="C11" s="4" t="n"/>
      <c r="D11" s="4">
        <f>IF(B11&lt;&gt;"","OK — pronto para validar","PREENCHER título ou deixar a linha vazia")</f>
        <v/>
      </c>
    </row>
    <row r="12" ht="42" customHeight="1">
      <c r="A12" s="4" t="n"/>
      <c r="B12" s="4" t="n"/>
      <c r="C12" s="4" t="n"/>
      <c r="D12" s="4">
        <f>IF(B12&lt;&gt;"","OK — pronto para validar","PREENCHER título ou deixar a linha vazia")</f>
        <v/>
      </c>
    </row>
    <row r="13" ht="42" customHeight="1">
      <c r="A13" s="4" t="n"/>
      <c r="B13" s="4" t="n"/>
      <c r="C13" s="4" t="n"/>
      <c r="D13" s="4">
        <f>IF(B13&lt;&gt;"","OK — pronto para validar","PREENCHER título ou deixar a linha vazia")</f>
        <v/>
      </c>
    </row>
    <row r="14" ht="42" customHeight="1">
      <c r="A14" s="4" t="n"/>
      <c r="B14" s="4" t="n"/>
      <c r="C14" s="4" t="n"/>
      <c r="D14" s="4">
        <f>IF(B14&lt;&gt;"","OK — pronto para validar","PREENCHER título ou deixar a linha vazia")</f>
        <v/>
      </c>
    </row>
  </sheetData>
  <autoFilter ref="A1:D14"/>
  <mergeCells count="2">
    <mergeCell ref="A1:D1"/>
    <mergeCell ref="A2:D2"/>
  </mergeCells>
  <conditionalFormatting sqref="D5:D14">
    <cfRule type="expression" priority="1" dxfId="0">
      <formula>LEFT(D5,2)="OK"</formula>
    </cfRule>
    <cfRule type="expression" priority="2" dxfId="1">
      <formula>LEFT(D5,3)="PREE"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2026-09-22T11:21:51Z</dcterms:created>
  <dcterms:modified xmlns:dcterms="http://purl.org/dc/terms/" xmlns:xsi="http://www.w3.org/2001/XMLSchema-instance" xsi:type="dcterms:W3CDTF">2026-09-22T11:21:51Z</dcterms:modified>
</cp:coreProperties>
</file>